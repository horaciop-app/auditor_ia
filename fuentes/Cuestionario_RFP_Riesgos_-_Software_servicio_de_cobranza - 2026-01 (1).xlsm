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ategorías" sheetId="1" r:id="rId5"/>
    <sheet state="visible" name="Cuestionario" sheetId="2" r:id="rId6"/>
    <sheet state="hidden" name="Punteo" sheetId="3" r:id="rId7"/>
  </sheets>
  <definedNames>
    <definedName name="_xleta.IF">#NAME?</definedName>
    <definedName name="_xleta.SLOPE">#NAME?</definedName>
    <definedName name="_xleta.SUM">#NAME?</definedName>
  </definedNames>
  <calcPr/>
  <extLst>
    <ext uri="GoogleSheetsCustomDataVersion2">
      <go:sheetsCustomData xmlns:go="http://customooxmlschemas.google.com/" r:id="rId8" roundtripDataChecksum="plslINQ/QxL5hhS+ErwloPPoHqTc98D1+paozv2wSno="/>
    </ext>
  </extLst>
</workbook>
</file>

<file path=xl/sharedStrings.xml><?xml version="1.0" encoding="utf-8"?>
<sst xmlns="http://schemas.openxmlformats.org/spreadsheetml/2006/main" count="412" uniqueCount="256">
  <si>
    <t>Categorías que le aplican al proveedor</t>
  </si>
  <si>
    <t>General</t>
  </si>
  <si>
    <t>Mantenimiento e Instalación</t>
  </si>
  <si>
    <t>Información Digital</t>
  </si>
  <si>
    <t>Trámites</t>
  </si>
  <si>
    <t>Información Física</t>
  </si>
  <si>
    <t>Arrendamientos Bienes Inmuebles</t>
  </si>
  <si>
    <t>Movimiento de Efectivo</t>
  </si>
  <si>
    <t>Corretaje</t>
  </si>
  <si>
    <t xml:space="preserve"> </t>
  </si>
  <si>
    <t>Seguridad Física</t>
  </si>
  <si>
    <t>Accesos a Servidores o Aplicativos</t>
  </si>
  <si>
    <t>Consulta o Asesoría</t>
  </si>
  <si>
    <t>Desarrollo o Uso de Modelos</t>
  </si>
  <si>
    <t>Continuidad del Negocio</t>
  </si>
  <si>
    <t>Desarrollo y soporte de Software</t>
  </si>
  <si>
    <t xml:space="preserve">  </t>
  </si>
  <si>
    <t>Hoja de punteo</t>
  </si>
  <si>
    <t>Cuestionario Riesgo Operacional</t>
  </si>
  <si>
    <r>
      <rPr>
        <rFont val="Arial"/>
        <b/>
        <color theme="1"/>
        <sz val="11.0"/>
      </rPr>
      <t xml:space="preserve">Instrucciones de diligenciamiento:
• </t>
    </r>
    <r>
      <rPr>
        <rFont val="Arial"/>
        <b val="0"/>
        <color theme="1"/>
        <sz val="11.0"/>
      </rPr>
      <t>Seleccionar la respuesta en la columna "Respuesta"</t>
    </r>
    <r>
      <rPr>
        <rFont val="Arial"/>
        <b/>
        <color theme="1"/>
        <sz val="11.0"/>
      </rPr>
      <t xml:space="preserve">
• Siempre </t>
    </r>
    <r>
      <rPr>
        <rFont val="Arial"/>
        <b val="0"/>
        <color theme="1"/>
        <sz val="11.0"/>
      </rPr>
      <t xml:space="preserve">se debe dar una justificación a la respuesta seleccionada en la columna "Detalle".
</t>
    </r>
    <r>
      <rPr>
        <rFont val="Arial"/>
        <b/>
        <color theme="1"/>
        <sz val="11.0"/>
      </rPr>
      <t xml:space="preserve">• </t>
    </r>
    <r>
      <rPr>
        <rFont val="Arial"/>
        <b val="0"/>
        <color theme="1"/>
        <sz val="11.0"/>
      </rPr>
      <t>Para las preguntas cuya alternativa de respuesta es "</t>
    </r>
    <r>
      <rPr>
        <rFont val="Arial"/>
        <b/>
        <color theme="1"/>
        <sz val="11.0"/>
      </rPr>
      <t xml:space="preserve">Abierta o no aplica": 
</t>
    </r>
    <r>
      <rPr>
        <rFont val="Arial"/>
        <b val="0"/>
        <color theme="1"/>
        <sz val="11.0"/>
      </rPr>
      <t xml:space="preserve">        • Seleccione </t>
    </r>
    <r>
      <rPr>
        <rFont val="Arial"/>
        <b/>
        <color theme="1"/>
        <sz val="11.0"/>
      </rPr>
      <t>"No aplica"</t>
    </r>
    <r>
      <rPr>
        <rFont val="Arial"/>
        <b val="0"/>
        <color theme="1"/>
        <sz val="11.0"/>
      </rPr>
      <t xml:space="preserve"> en el campo </t>
    </r>
    <r>
      <rPr>
        <rFont val="Arial"/>
        <b/>
        <color theme="1"/>
        <sz val="11.0"/>
      </rPr>
      <t>"Respuesta"</t>
    </r>
    <r>
      <rPr>
        <rFont val="Arial"/>
        <b val="0"/>
        <color theme="1"/>
        <sz val="11.0"/>
      </rPr>
      <t xml:space="preserve"> en caso de no contar con lo que indica la pregunta. 
        • Si cuenta con lo indicado en la pregunta, deberá proporcionar una respuesta en el campo</t>
    </r>
    <r>
      <rPr>
        <rFont val="Arial"/>
        <b/>
        <color theme="1"/>
        <sz val="11.0"/>
      </rPr>
      <t xml:space="preserve"> "Detalle".</t>
    </r>
  </si>
  <si>
    <t>INFORMACIÓN BÁSICA PROVEEDOR</t>
  </si>
  <si>
    <t>Razón Social Proveedor:</t>
  </si>
  <si>
    <t>INTIZA S.A.</t>
  </si>
  <si>
    <t>NIT/RUC:</t>
  </si>
  <si>
    <t>216662830015</t>
  </si>
  <si>
    <t>Alcance Servicio Prestado al Banco:</t>
  </si>
  <si>
    <t xml:space="preserve">Desarrollo de software de cobanzas </t>
  </si>
  <si>
    <t>Registra la URL principal del servicio que el proveedor presta al Banco</t>
  </si>
  <si>
    <t>www.intiza.com</t>
  </si>
  <si>
    <t>Fecha Diligenciamiento Cuestionario (DD/MM/AAAA):</t>
  </si>
  <si>
    <t>Persona Responsable Diligenciamiento Cuestionario:</t>
  </si>
  <si>
    <t>Email Persona Responsable Diligenciamiento Cuestionario:</t>
  </si>
  <si>
    <t>No.</t>
  </si>
  <si>
    <t>PREGUNTA</t>
  </si>
  <si>
    <t>ALTERNATIVAS DE RESPUESTA</t>
  </si>
  <si>
    <t>RESPUESTA</t>
  </si>
  <si>
    <t>DETALLE</t>
  </si>
  <si>
    <t>CATEGORÍA: General</t>
  </si>
  <si>
    <t>¿Cuenta con sistemas o esquemas de seguridad y monitoreo para la ejecución de actividades de los colaboradores dentro de sus sedes?</t>
  </si>
  <si>
    <r>
      <rPr>
        <rFont val="Arial"/>
        <b/>
        <color theme="1"/>
        <sz val="11.0"/>
      </rPr>
      <t xml:space="preserve">a) </t>
    </r>
    <r>
      <rPr>
        <rFont val="Arial"/>
        <color theme="1"/>
        <sz val="11.0"/>
      </rPr>
      <t xml:space="preserve">No tiene
</t>
    </r>
    <r>
      <rPr>
        <rFont val="Arial"/>
        <b/>
        <color theme="1"/>
        <sz val="11.0"/>
      </rPr>
      <t xml:space="preserve">b) </t>
    </r>
    <r>
      <rPr>
        <rFont val="Arial"/>
        <color theme="1"/>
        <sz val="11.0"/>
      </rPr>
      <t xml:space="preserve">Mecanismos manuales (supervisión por un colaborador asignado sobre el resto de integrantes, revisión de pertenencias a la salida, etc.)
</t>
    </r>
    <r>
      <rPr>
        <rFont val="Arial"/>
        <b/>
        <color theme="1"/>
        <sz val="11.0"/>
      </rPr>
      <t xml:space="preserve">c) </t>
    </r>
    <r>
      <rPr>
        <rFont val="Arial"/>
        <color theme="1"/>
        <sz val="11.0"/>
      </rPr>
      <t>100% automáticos (monitoreo en cámaras y alarmas)</t>
    </r>
  </si>
  <si>
    <t>B</t>
  </si>
  <si>
    <t>Nuestra política aplica controles de acceso locales para todo el personal y los recursos informáticos son sujetos a revisión y evaluación.  El acceso a nuestras oficinas cuenta con un sistema de huellas digitales con el que accede cada colaborador y el edifico cuenta con monitoréo en cámaras, alarmas, entre otros sistemas de seguridad física. El mecanismo es manual en el caso de los ingresos excepcionales.</t>
  </si>
  <si>
    <t>¿Existe una adecuada segregación de funciones y aprobaciones en la ejecución de actividades dentro del proceso de la compañía?</t>
  </si>
  <si>
    <r>
      <rPr>
        <rFont val="Arial"/>
        <b/>
        <color theme="1"/>
        <sz val="11.0"/>
      </rPr>
      <t xml:space="preserve">a) </t>
    </r>
    <r>
      <rPr>
        <rFont val="Arial"/>
        <color theme="1"/>
        <sz val="11.0"/>
      </rPr>
      <t xml:space="preserve">No tiene
</t>
    </r>
    <r>
      <rPr>
        <rFont val="Arial"/>
        <b/>
        <color theme="1"/>
        <sz val="11.0"/>
      </rPr>
      <t>b)</t>
    </r>
    <r>
      <rPr>
        <rFont val="Arial"/>
        <color theme="1"/>
        <sz val="11.0"/>
      </rPr>
      <t xml:space="preserve"> Se aplica la segregación de funciones, sin embargo, no se registra la trazabilidad o evidencia de las operaciones.
</t>
    </r>
    <r>
      <rPr>
        <rFont val="Arial"/>
        <b/>
        <color theme="1"/>
        <sz val="11.0"/>
      </rPr>
      <t>c)</t>
    </r>
    <r>
      <rPr>
        <rFont val="Arial"/>
        <color theme="1"/>
        <sz val="11.0"/>
      </rPr>
      <t xml:space="preserve"> Las aprobaciones se realizan a través de herramientas como chat de Teams, correo electrónico y/o documentos.
</t>
    </r>
    <r>
      <rPr>
        <rFont val="Arial"/>
        <b/>
        <color theme="1"/>
        <sz val="11.0"/>
      </rPr>
      <t>d)</t>
    </r>
    <r>
      <rPr>
        <rFont val="Arial"/>
        <color theme="1"/>
        <sz val="11.0"/>
      </rPr>
      <t xml:space="preserve"> Las aprobaciones se realizan en sistemas o aplicativos y se revisan periodicamente los roles de los usuarios.</t>
    </r>
  </si>
  <si>
    <t>D</t>
  </si>
  <si>
    <t xml:space="preserve">Los privilegios se asignan por rol, asegurando que el personal no altere programas ni datos fuera de sus responsabilidades. Implementamos procesos formales de solicitud y autorización para todos los accesos, </t>
  </si>
  <si>
    <t>¿Como garantiza la correcta desvinculación de los empleados que participan en el servicio prestado a Bam?</t>
  </si>
  <si>
    <r>
      <rPr>
        <rFont val="Arial"/>
        <b/>
        <color theme="1"/>
        <sz val="11.0"/>
      </rPr>
      <t xml:space="preserve">a) </t>
    </r>
    <r>
      <rPr>
        <rFont val="Arial"/>
        <color theme="1"/>
        <sz val="11.0"/>
      </rPr>
      <t xml:space="preserve">Realiza la desvinculación bajo la norma establecida, cumpliendo con la entrega de liquidación del empleado.
</t>
    </r>
    <r>
      <rPr>
        <rFont val="Arial"/>
        <b/>
        <color theme="1"/>
        <sz val="11.0"/>
      </rPr>
      <t>b)</t>
    </r>
    <r>
      <rPr>
        <rFont val="Arial"/>
        <color theme="1"/>
        <sz val="11.0"/>
      </rPr>
      <t xml:space="preserve"> Cumple con el criterio anterior y solicita la entrega de uniformes, carnet de identificación e instrumentos proporcionados por la empresa.
</t>
    </r>
    <r>
      <rPr>
        <rFont val="Arial"/>
        <b/>
        <color theme="1"/>
        <sz val="11.0"/>
      </rPr>
      <t>c)</t>
    </r>
    <r>
      <rPr>
        <rFont val="Arial"/>
        <color theme="1"/>
        <sz val="11.0"/>
      </rPr>
      <t xml:space="preserve"> Se ajusta a nivel bajo y medio, y realiza el correcto traslado de información al contratante para restringir el otorgamiento de información física, electrónica y/o activos.</t>
    </r>
  </si>
  <si>
    <t>C</t>
  </si>
  <si>
    <t>Garantizamos una desvinculación segura y oportuna. Todos los accesos físicos e informáticos de un colaborador se deshabilitan el mismo día de su desvinculación. Un control automático revisa estos accesos cada hora.</t>
  </si>
  <si>
    <t>¿Cuáles son los métodos utilizados para la selección del personal a contratar que participará en el servicio brindado a Bam?</t>
  </si>
  <si>
    <t>Abierta o no aplica</t>
  </si>
  <si>
    <t>No aplica</t>
  </si>
  <si>
    <t>Contamos con un proceso marco global para la selección objetiva e imparcial de colaboradores Esto incluye la solicitud de referencias, evaluaciones psicotécnicas y exámenes médicos preocupacionales, según el rol. Para cargos sensibles, solicitamos certificados de buena conducta y declaraciones juradas de salud. Aseguramos la idoneidad del personal. Adjunto nuestra norma: NO-RH-01 Contratación de Recursos Humanos_v2.1_2025-04-30.pdf</t>
  </si>
  <si>
    <t>¿Posee un proceso y responsable definido para garantizar la inscripción y actualización de las licencias conforme a lo establecido en la legislación y normativa legal vigente?</t>
  </si>
  <si>
    <t xml:space="preserve">Contamos con un procedimiento formal que garantiza la inscripción y gestión de licencias de software. Este proceso define roles claros para la solicitud, aprobación y registro en nuestro "Registro de SW", asegurando su control y cumplimiento continuo. Adjunto: NO-SI-24  Gestión de Software_v2.1_2024-11-12.pdf
</t>
  </si>
  <si>
    <t>CATEGORÍA: Información Digital</t>
  </si>
  <si>
    <t>¿Cuenta con un control DLP (Data Loss Prevención)?</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</si>
  <si>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</si>
  <si>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A</t>
  </si>
  <si>
    <t xml:space="preserve">Disponemos de un conjunto de software especializado que cumple esta función, asegurando la protección de su información sensible en todo momento.
</t>
  </si>
  <si>
    <t>¿Cuenta con sistemas de protección para las aplicaciones alojadas o expuestas en la nube?. Ej.: (Web Aplicación Firewall – WAF)  ¿cuáles?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</si>
  <si>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</si>
  <si>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Nosotros protegemos nuestras aplicaciones alojadas en Microsoft Azure utilizando la completa suite de seguridad de Microsoft. Empleamos herramientas como WAF, Firewalls, Sentinel, Defender for Cloud y Defender for Endpoint. Esto nos asegura una defensa robusta y multicapa contra las ciberamenazas.
</t>
  </si>
  <si>
    <t>¿Cuenta con informes de auditorías realizados a su infraestructura tecnológica y a los procesos de gestión de ciberseguridad y seguridad de la información?</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</si>
  <si>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</si>
  <si>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Nuestra gestión de seguridad es auditada continuamente. Disponemos de informes del SGSI, confirmando nuestros procesos. Adicionalmente, estamos certificados ISO 27001 y realizamos pruebas de penetración externas semestralmente para nuestra infraestructura. Adjunto:
- NO-SI-16- Auditoría del SGSI_v2.1_2024-11-27.pdf
- NO-SI-13 Gestión de Vulnerabilidades y Parches_v2.1_2024-08-09.pdf
</t>
  </si>
  <si>
    <t>¿Qué mecanismos de autenticación utiliza para el ingreso de los usuarios a los servicios y sistemas que gestionan o procesan información de Bam?</t>
  </si>
  <si>
    <t xml:space="preserve">Utilizamos diversos mecanismos robustos. Para el acceso a nuestras aplicaciones, soportamos SSO mediante Open ID Connect, SAML 2.0 y OAuth 2.0 Bearer Token. Adicionalmente, implementamos autenticación multifactor (MFA): Microsoft Authenticator para nuestro personal y verificación por email para usuarios finales de la aplicación.
</t>
  </si>
  <si>
    <t>¿Cuenta con políticas y medidas de seguridad para gestionar los riesgos del uso de dispositivos móviles? En caso afirmativo, mencione las políticas y medidas de control implementadas para los accesos remotos y la realización de trabajo en casa o teletrabajo.</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</si>
  <si>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</si>
  <si>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Gestionamos los riesgos de dispositivos móviles con configuraciones de seguridad, gestión de aplicaciones y capacidad de borrado remoto. Para el teletrabajo y accesos remotos, aseguramos configuraciones seguras, control centralizado del hardware provisto y seguridad física del entorno . Además, exigimos cifrado, autenticación, antivirus y parches en los equipos, limitando los accesos por criticidad y rol, con autenticación robusta. Adjunto:
- NO-SI-26- Seguridad en Dispositivos Móviles_v1.1_02-05-2025.pdf, 
- NO-TI-02- Teletrabajo_V2.1_2025-05-15.pdf, 
- NO-TI-01- Uso de Recursos Informáticos_v2.1.docx.pdf.
</t>
  </si>
  <si>
    <t>¿Cuenta con una política de escritorio limpio y grabación de llamadas o pantallas?. En caso afirmativo mencione la políticas y medidas de control implementadas.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</si>
  <si>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</si>
  <si>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Contamos con una "Norma de Escritorio y Pantallas Limpias" que busca evitar accesos no autorizados a la información. Implementamos controles como el bloqueo de pantallas y la responsabilidad del colaborador, con monitoreo de cumplimiento. Adjunto: NO-SI-06- Escritorio y Pantallas limpias_v2.1_2024-11-27.pdf</t>
  </si>
  <si>
    <t>¿Cuenta con lineamientos o procedimientos definidos para evitar la fuga de información a través de medios removibles (discos magnéticos, USB y/o dispositivos de almacenamiento extraíbles) y con que periodicidad verifica el cumplimiento de dichos lineamientos o procedimientos?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</si>
  <si>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</si>
  <si>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Prohibimos el uso de dispositivos de almacenamiento externo y bloqueamos los puertos de nuestros equipos para prevenir la fuga de información. Adjunto: 
- NO-SI-26- Seguridad en Dispositivos Móviles_v1.1_02-05-2025.pdf, 
- NO-TI-02- Teletrabajo_V2.1_2025-05-15.pdf, 
- NO-TI-01- Uso de Recursos Informáticos_v2.1.docx.pdf.</t>
  </si>
  <si>
    <t>¿La información compartida por el Banco se encuentra encriptada?</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</si>
  <si>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</si>
  <si>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Nuestra plataforma aplica cifrado de extremo a extremo para datos en tránsito y asegura el cifrado de datos en reposo, garantizando su máxima confidencialidad. Adjunto: NO-SI-20 Cifrado de la Información_v1.1_2024-07-10.pdf</t>
  </si>
  <si>
    <t>¿De qué manera se distribuye la información a los participantes del proceso?</t>
  </si>
  <si>
    <t>La gestión de la información se realiza enteramente en el aplicativo. Se distribuye en función de los procesos establecidos durante la implementación y de acuerdo a los roles y perfiles de usuario establecidos para su gestión.</t>
  </si>
  <si>
    <t>¿Cuál es el método para asignar la información a los participantes del proceso?</t>
  </si>
  <si>
    <t>Mediante roles y perfiles de usuarios establecidos durante la implementación.</t>
  </si>
  <si>
    <t>A que tipo de información tendrá acceso: publica, interna, confidencial?</t>
  </si>
  <si>
    <t>a) Publica
b) Interna
c) Confidencial</t>
  </si>
  <si>
    <t>Durante la implementación se establece con el banco  la información a gestionar en el aplicativo. Intiza considera y gestiona como Confidencial toda la información de sus clientes.</t>
  </si>
  <si>
    <t>Cuantos empleados requeriran acceso a la información de Bam?</t>
  </si>
  <si>
    <t>Ningún empleado de Intiza tiene acceso persistente a los datos de nuestros clientes, incluyendo los de Bam. El acceso es siempre temporal, realizado desde la aplicación y estrictamente por personal autorizado ante la necesidad de soporte. A nivel de infraestructura, solo nuestro CTO posee acceso administrativo cuando es estrictamente necesario para garantizar la operación.</t>
  </si>
  <si>
    <t>CATEGORÍA: Información Física</t>
  </si>
  <si>
    <t>¿Tiene implementado controles para la protección sobre el acceso a la documentación física sensible (contratos, cartas, formatos de vinculación, cheques, entre otros)? Mencione los procedimientos y controles y si están documentados.</t>
  </si>
  <si>
    <r>
      <rPr>
        <rFont val="Arial"/>
        <b/>
        <color theme="1"/>
        <sz val="11.0"/>
      </rPr>
      <t xml:space="preserve">a) </t>
    </r>
    <r>
      <rPr>
        <rFont val="Arial"/>
        <b val="0"/>
        <color theme="1"/>
        <sz val="11.0"/>
      </rPr>
      <t>posee un supervisor de planta, se monitorea el ingreso y la salida de los colaboradores.</t>
    </r>
    <r>
      <rPr>
        <rFont val="Arial"/>
        <b/>
        <color theme="1"/>
        <sz val="11.0"/>
      </rPr>
      <t xml:space="preserve">
b) </t>
    </r>
    <r>
      <rPr>
        <rFont val="Arial"/>
        <b val="0"/>
        <color theme="1"/>
        <sz val="11.0"/>
      </rPr>
      <t>se monitorea la entrada y salida de documentos a través de un sistema de información.</t>
    </r>
    <r>
      <rPr>
        <rFont val="Arial"/>
        <b/>
        <color theme="1"/>
        <sz val="11.0"/>
      </rPr>
      <t xml:space="preserve">
c) </t>
    </r>
    <r>
      <rPr>
        <rFont val="Arial"/>
        <b val="0"/>
        <color theme="1"/>
        <sz val="11.0"/>
      </rPr>
      <t>se cuenta con un monitoreo de cámaras y alarmas, tarjetas de acceso a áreas donde se almacenan los documentos acompañado de una revisión periodica de los permisos brindados.</t>
    </r>
  </si>
  <si>
    <t>La información física esta protegida ante amenazas ambientales o sucesos catastróficos (inundaciones, terremotos, incendios, etc.). Indique cuáles mecanismos de protección se tienen definidos. </t>
  </si>
  <si>
    <r>
      <rPr>
        <rFont val="Arial"/>
        <b/>
        <color theme="1"/>
        <sz val="11.0"/>
      </rPr>
      <t xml:space="preserve">a) </t>
    </r>
    <r>
      <rPr>
        <rFont val="Arial"/>
        <b val="0"/>
        <color theme="1"/>
        <sz val="11.0"/>
      </rPr>
      <t>no se aplican medidas ante amenazas ambientales.</t>
    </r>
    <r>
      <rPr>
        <rFont val="Arial"/>
        <b/>
        <color theme="1"/>
        <sz val="11.0"/>
      </rPr>
      <t xml:space="preserve">
b) </t>
    </r>
    <r>
      <rPr>
        <rFont val="Arial"/>
        <b val="0"/>
        <color theme="1"/>
        <sz val="11.0"/>
      </rPr>
      <t>se cuenta con un respaldo digital de la información, protocolo contra incendios, estructuras diseñadas contra sismos e inundaciones.</t>
    </r>
  </si>
  <si>
    <t>¿La información cuenta con un respaldo digital (On premise o en la nube)?</t>
  </si>
  <si>
    <r>
      <rPr>
        <rFont val="Arial"/>
        <b/>
        <color theme="1"/>
        <sz val="11.0"/>
      </rPr>
      <t xml:space="preserve">a) </t>
    </r>
    <r>
      <rPr>
        <rFont val="Arial"/>
        <b val="0"/>
        <color theme="1"/>
        <sz val="11.0"/>
      </rPr>
      <t xml:space="preserve">No se cuenta con respaldo
</t>
    </r>
    <r>
      <rPr>
        <rFont val="Arial"/>
        <b/>
        <color theme="1"/>
        <sz val="11.0"/>
      </rPr>
      <t xml:space="preserve">b) </t>
    </r>
    <r>
      <rPr>
        <rFont val="Arial"/>
        <b val="0"/>
        <color theme="1"/>
        <sz val="11.0"/>
      </rPr>
      <t>On Premise</t>
    </r>
    <r>
      <rPr>
        <rFont val="Arial"/>
        <b/>
        <color theme="1"/>
        <sz val="11.0"/>
      </rPr>
      <t xml:space="preserve">
c) </t>
    </r>
    <r>
      <rPr>
        <rFont val="Arial"/>
        <b val="0"/>
        <color theme="1"/>
        <sz val="11.0"/>
      </rPr>
      <t xml:space="preserve">En la nube
</t>
    </r>
    <r>
      <rPr>
        <rFont val="Arial"/>
        <b/>
        <color theme="1"/>
        <sz val="11.0"/>
      </rPr>
      <t xml:space="preserve">d) </t>
    </r>
    <r>
      <rPr>
        <rFont val="Arial"/>
        <b val="0"/>
        <color theme="1"/>
        <sz val="11.0"/>
      </rPr>
      <t>Ambas</t>
    </r>
  </si>
  <si>
    <t>¿Posee controles para garantizar la separación e independencia de usuarios e información de otros clientes que contratan el mismo servicio que tiene el Banco?</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</si>
  <si>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se almacena la información en distinas cajas correctamente identificadas.</t>
    </r>
    <r>
      <rPr>
        <rFont val="Arial"/>
        <b/>
        <color theme="1"/>
        <sz val="11.0"/>
      </rPr>
      <t xml:space="preserve">
c) </t>
    </r>
    <r>
      <rPr>
        <rFont val="Arial"/>
        <b val="0"/>
        <color theme="1"/>
        <sz val="11.0"/>
      </rPr>
      <t>se asigna la responsabilidad y acceso de la información por colaborador, se cuenta con ambientes independientes de resguardo.</t>
    </r>
  </si>
  <si>
    <t>¿Cuenta con una política y medidas de escritorio limpio (procedimiento de un adecuado resguardo de los documentos que contienen información sensible al momento de no utilizarlos)?</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</si>
  <si>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se cuenta con políticas definidas de escritorio limpio.</t>
    </r>
    <r>
      <rPr>
        <rFont val="Arial"/>
        <b/>
        <color theme="1"/>
        <sz val="11.0"/>
      </rPr>
      <t xml:space="preserve">
c) </t>
    </r>
    <r>
      <rPr>
        <rFont val="Arial"/>
        <b val="0"/>
        <color theme="1"/>
        <sz val="11.0"/>
      </rPr>
      <t>se cuenta con equipos específicos y accesibles por colaborador para el resguardo inmediato de la información.</t>
    </r>
  </si>
  <si>
    <t>CATEGORÍA: Movimiento de Efectivo</t>
  </si>
  <si>
    <t>¿Cuenta la compañía con pólizas que cubran los eventos de infidelidad de empleados?</t>
  </si>
  <si>
    <r>
      <rPr>
        <rFont val="Arial"/>
        <b/>
        <color theme="1"/>
        <sz val="11.0"/>
      </rPr>
      <t>a)</t>
    </r>
    <r>
      <rPr>
        <rFont val="Arial"/>
        <b val="0"/>
        <color theme="1"/>
        <sz val="11.0"/>
      </rPr>
      <t xml:space="preserve"> No tiene
</t>
    </r>
    <r>
      <rPr>
        <rFont val="Arial"/>
        <b/>
        <color theme="1"/>
        <sz val="11.0"/>
      </rPr>
      <t xml:space="preserve">b) </t>
    </r>
    <r>
      <rPr>
        <rFont val="Arial"/>
        <b val="0"/>
        <color theme="1"/>
        <sz val="11.0"/>
      </rPr>
      <t>se cuenta con una póliza generalizada ante un evento de fraude interno</t>
    </r>
    <r>
      <rPr>
        <rFont val="Arial"/>
        <b/>
        <color theme="1"/>
        <sz val="11.0"/>
      </rPr>
      <t xml:space="preserve">
c) </t>
    </r>
    <r>
      <rPr>
        <rFont val="Arial"/>
        <b val="0"/>
        <color theme="1"/>
        <sz val="11.0"/>
      </rPr>
      <t>se cuenta con una póliza detallada por eventos de fraude específicos</t>
    </r>
  </si>
  <si>
    <t>¿Cuenta la compañía con pólizas que cubran los eventos de fraude externo (robo, atracos, vandalismo, etc.)?</t>
  </si>
  <si>
    <r>
      <rPr>
        <rFont val="Arial"/>
        <b/>
        <color theme="1"/>
        <sz val="11.0"/>
      </rPr>
      <t xml:space="preserve">a) </t>
    </r>
    <r>
      <rPr>
        <rFont val="Arial"/>
        <b val="0"/>
        <color theme="1"/>
        <sz val="11.0"/>
      </rPr>
      <t xml:space="preserve">No tiene
</t>
    </r>
    <r>
      <rPr>
        <rFont val="Arial"/>
        <b/>
        <color theme="1"/>
        <sz val="11.0"/>
      </rPr>
      <t xml:space="preserve">b)  </t>
    </r>
    <r>
      <rPr>
        <rFont val="Arial"/>
        <b val="0"/>
        <color theme="1"/>
        <sz val="11.0"/>
      </rPr>
      <t>se cuenta con una póliza generalizada ante un evento de fraude externo</t>
    </r>
    <r>
      <rPr>
        <rFont val="Arial"/>
        <b/>
        <color theme="1"/>
        <sz val="11.0"/>
      </rPr>
      <t xml:space="preserve">
c) </t>
    </r>
    <r>
      <rPr>
        <rFont val="Arial"/>
        <b val="0"/>
        <color theme="1"/>
        <sz val="11.0"/>
      </rPr>
      <t>se cuenta con una póliza detallada por eventos de fraude específicos</t>
    </r>
  </si>
  <si>
    <t>¿Cuenta con esquemas de seguridad de accesos a las salas de conteo y/o bóvedas donde se almacena el efectivo?</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</si>
  <si>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se registra y validan manualmente los datos de identificación de los individuos que acceden a las sedes.</t>
    </r>
    <r>
      <rPr>
        <rFont val="Arial"/>
        <b/>
        <color theme="1"/>
        <sz val="11.0"/>
      </rPr>
      <t xml:space="preserve">
c) </t>
    </r>
    <r>
      <rPr>
        <rFont val="Arial"/>
        <b val="0"/>
        <color theme="1"/>
        <sz val="11.0"/>
      </rPr>
      <t>se brinda acceso a las personas con previo aviso y autorización.</t>
    </r>
    <r>
      <rPr>
        <rFont val="Arial"/>
        <b/>
        <color theme="1"/>
        <sz val="11.0"/>
      </rPr>
      <t xml:space="preserve">
d) </t>
    </r>
    <r>
      <rPr>
        <rFont val="Arial"/>
        <b val="0"/>
        <color theme="1"/>
        <sz val="11.0"/>
      </rPr>
      <t>se cuenta con tarjetas y claves de acceso para el ingreso y sistemas de esclusas.</t>
    </r>
  </si>
  <si>
    <t>¿Cuenta con esquemas de seguridad durante el traslado del efectivo?</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</si>
  <si>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se cuenta con un guardia de seguridad que acompaña el traslado del efectivo.</t>
    </r>
    <r>
      <rPr>
        <rFont val="Arial"/>
        <b/>
        <color theme="1"/>
        <sz val="11.0"/>
      </rPr>
      <t xml:space="preserve">
c) </t>
    </r>
    <r>
      <rPr>
        <rFont val="Arial"/>
        <b val="0"/>
        <color theme="1"/>
        <sz val="11.0"/>
      </rPr>
      <t>se raestrea y monitorea desde la sede el desplazo de la unidad.</t>
    </r>
    <r>
      <rPr>
        <rFont val="Arial"/>
        <b/>
        <color theme="1"/>
        <sz val="11.0"/>
      </rPr>
      <t xml:space="preserve">
d) </t>
    </r>
    <r>
      <rPr>
        <rFont val="Arial"/>
        <b val="0"/>
        <color theme="1"/>
        <sz val="11.0"/>
      </rPr>
      <t>se cuenta con un protocolo de apertura de bóveda.</t>
    </r>
  </si>
  <si>
    <t>CATEGORÍA: Seguridad Física</t>
  </si>
  <si>
    <t>¿Cuáles son las certificaciones y documentos (licencia para portar armas, antecedentes penales, etc.) que le solicita a sus colaboradores para desempeñar las funciones de seguridad?</t>
  </si>
  <si>
    <t>¿Cuál es el protocolo definido en caso un agente de seguridad no se presente?</t>
  </si>
  <si>
    <r>
      <rPr>
        <rFont val="Arial"/>
        <b/>
        <color theme="1"/>
        <sz val="11.0"/>
      </rPr>
      <t xml:space="preserve">a) </t>
    </r>
    <r>
      <rPr>
        <rFont val="Arial"/>
        <color theme="1"/>
        <sz val="11.0"/>
      </rPr>
      <t xml:space="preserve">No tiene
</t>
    </r>
    <r>
      <rPr>
        <rFont val="Arial"/>
        <b/>
        <color theme="1"/>
        <sz val="11.0"/>
      </rPr>
      <t>b)</t>
    </r>
    <r>
      <rPr>
        <rFont val="Arial"/>
        <color theme="1"/>
        <sz val="11.0"/>
      </rPr>
      <t xml:space="preserve"> se cuenta con una póliza generalizada ante un evento de fraude interno
</t>
    </r>
    <r>
      <rPr>
        <rFont val="Arial"/>
        <b/>
        <color theme="1"/>
        <sz val="11.0"/>
      </rPr>
      <t>c)</t>
    </r>
    <r>
      <rPr>
        <rFont val="Arial"/>
        <color theme="1"/>
        <sz val="11.0"/>
      </rPr>
      <t xml:space="preserve"> se cuenta con una póliza detallada por eventos de fraude específicos</t>
    </r>
  </si>
  <si>
    <t>CATEGORÍA: Consulta o Asesoría</t>
  </si>
  <si>
    <t>¿Las fuentes de información externa o de mercado que utiliza para brindar el servicio se actualizan constantemente?</t>
  </si>
  <si>
    <r>
      <rPr>
        <rFont val="Arial"/>
        <b/>
        <color theme="1"/>
        <sz val="11.0"/>
      </rPr>
      <t>a)</t>
    </r>
    <r>
      <rPr>
        <rFont val="Arial"/>
        <b val="0"/>
        <color theme="1"/>
        <sz val="11.0"/>
      </rPr>
      <t>No aplica</t>
    </r>
    <r>
      <rPr>
        <rFont val="Arial"/>
        <b/>
        <color theme="1"/>
        <sz val="11.0"/>
      </rPr>
      <t xml:space="preserve">
b) </t>
    </r>
    <r>
      <rPr>
        <rFont val="Arial"/>
        <b val="0"/>
        <color theme="1"/>
        <sz val="11.0"/>
      </rPr>
      <t>se actualizan al inicio de relación</t>
    </r>
    <r>
      <rPr>
        <rFont val="Arial"/>
        <b/>
        <color theme="1"/>
        <sz val="11.0"/>
      </rPr>
      <t xml:space="preserve">
c) </t>
    </r>
    <r>
      <rPr>
        <rFont val="Arial"/>
        <b val="0"/>
        <color theme="1"/>
        <sz val="11.0"/>
      </rPr>
      <t>se actualizan conforme a la necesidad del cliente, mensualmente o al conforme a la normativa</t>
    </r>
  </si>
  <si>
    <t>¿Existe capacitación continua a empleados que garantice el conocimiento requerido para la prestación del servicio?</t>
  </si>
  <si>
    <r>
      <rPr>
        <rFont val="Arial"/>
        <b/>
        <color theme="1"/>
        <sz val="11.0"/>
      </rPr>
      <t>a)</t>
    </r>
    <r>
      <rPr>
        <rFont val="Arial"/>
        <b val="0"/>
        <color theme="1"/>
        <sz val="11.0"/>
      </rPr>
      <t xml:space="preserve"> No se tiene
</t>
    </r>
    <r>
      <rPr>
        <rFont val="Arial"/>
        <b/>
        <color theme="1"/>
        <sz val="11.0"/>
      </rPr>
      <t>b)</t>
    </r>
    <r>
      <rPr>
        <rFont val="Arial"/>
        <b val="0"/>
        <color theme="1"/>
        <sz val="11.0"/>
      </rPr>
      <t xml:space="preserve"> se realizan capacitaciones internas al inicio de la relación con el colaborador
</t>
    </r>
    <r>
      <rPr>
        <rFont val="Arial"/>
        <b/>
        <color theme="1"/>
        <sz val="11.0"/>
      </rPr>
      <t>c)</t>
    </r>
    <r>
      <rPr>
        <rFont val="Arial"/>
        <b val="0"/>
        <color theme="1"/>
        <sz val="11.0"/>
      </rPr>
      <t xml:space="preserve"> se realizan capacitaciones internas periodicas o a demanda
</t>
    </r>
    <r>
      <rPr>
        <rFont val="Arial"/>
        <b/>
        <color theme="1"/>
        <sz val="11.0"/>
      </rPr>
      <t>d)</t>
    </r>
    <r>
      <rPr>
        <rFont val="Arial"/>
        <b val="0"/>
        <color theme="1"/>
        <sz val="11.0"/>
      </rPr>
      <t xml:space="preserve"> se realizan capacitaciones internas y externas por lo menos 4 veces al año</t>
    </r>
  </si>
  <si>
    <t>¿Le solicita certificaciones específicas a los colaboradores quienes están a cargo de la prestación del servicio a Bam? Si su respuesta es afirmativa, detalle cuales.</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</si>
  <si>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solicita al inicio de relación con el colaborador estudios acorde al puesto a desempeñar</t>
    </r>
    <r>
      <rPr>
        <rFont val="Arial"/>
        <b/>
        <color theme="1"/>
        <sz val="11.0"/>
      </rPr>
      <t xml:space="preserve">
c) </t>
    </r>
    <r>
      <rPr>
        <rFont val="Arial"/>
        <b val="0"/>
        <color theme="1"/>
        <sz val="11.0"/>
      </rPr>
      <t>se solicitan certificaciones específicas de conocimientos adicionales a los estudios universitarios y según su vigencia</t>
    </r>
  </si>
  <si>
    <t>¿cuál es el mecanismo que utiliza para garantizar que el servicio se ejecute bajo la normativa local vigente?</t>
  </si>
  <si>
    <t>¿cuenta con certificaciones internacionales que avalen el conocimiento en los servicios brindados y las actualiza conforme a su vigencia?</t>
  </si>
  <si>
    <t xml:space="preserve">¿Cuenta con estrategias de continuidad de negocio, para  entregar la información requerida por Bam en los tiempos definidos? </t>
  </si>
  <si>
    <r>
      <rPr>
        <rFont val="Arial"/>
        <b/>
        <color theme="1"/>
        <sz val="11.0"/>
      </rPr>
      <t>a)</t>
    </r>
    <r>
      <rPr>
        <rFont val="Arial"/>
        <color theme="1"/>
        <sz val="11.0"/>
      </rPr>
      <t xml:space="preserve"> No tiene
</t>
    </r>
    <r>
      <rPr>
        <rFont val="Arial"/>
        <b/>
        <color theme="1"/>
        <sz val="11.0"/>
      </rPr>
      <t>b)</t>
    </r>
    <r>
      <rPr>
        <rFont val="Arial"/>
        <color theme="1"/>
        <sz val="11.0"/>
      </rPr>
      <t xml:space="preserve"> Se tienen estrategias definidas y documentadas
</t>
    </r>
    <r>
      <rPr>
        <rFont val="Arial"/>
        <b/>
        <color theme="1"/>
        <sz val="11.0"/>
      </rPr>
      <t>c)</t>
    </r>
    <r>
      <rPr>
        <rFont val="Arial"/>
        <color theme="1"/>
        <sz val="11.0"/>
      </rPr>
      <t xml:space="preserve"> se cuenta con un área encargada de la administración de las estrategias. Estas se prueban frecuentemente y se mide su efectividad.
</t>
    </r>
    <r>
      <rPr>
        <rFont val="Arial"/>
        <b/>
        <color theme="1"/>
        <sz val="11.0"/>
      </rPr>
      <t>d)</t>
    </r>
    <r>
      <rPr>
        <rFont val="Arial"/>
        <color theme="1"/>
        <sz val="11.0"/>
      </rPr>
      <t xml:space="preserve"> se optimizan las estrategias de continuidad y se garantiza un mejoramiento continuo de  estas.</t>
    </r>
  </si>
  <si>
    <t>CATEGORÍA: Continuidad del Negocio</t>
  </si>
  <si>
    <t>¿La Organización cuenta con un Plan de Continuidad del Negocio documentado y aprobado por la alta dirección? De ser así, ¿ha verificado el Plan en el último año?</t>
  </si>
  <si>
    <r>
      <rPr>
        <rFont val="Arial"/>
        <b/>
        <color theme="1"/>
        <sz val="11.0"/>
      </rPr>
      <t>a)</t>
    </r>
    <r>
      <rPr>
        <rFont val="Arial"/>
        <color theme="1"/>
        <sz val="11.0"/>
      </rPr>
      <t xml:space="preserve"> Si
</t>
    </r>
    <r>
      <rPr>
        <rFont val="Arial"/>
        <b/>
        <color theme="1"/>
        <sz val="11.0"/>
      </rPr>
      <t>b)</t>
    </r>
    <r>
      <rPr>
        <rFont val="Arial"/>
        <color theme="1"/>
        <sz val="11.0"/>
      </rPr>
      <t xml:space="preserve"> No</t>
    </r>
  </si>
  <si>
    <t>Contamos con un Plan de Continuidad de Procesamiento de Datos documentado y aprobado por la alta dirección para garantizar la continuidad del negocio. Adjunto: PO-TI-01- Continuidad de Procesamiento de Datos_v2.1_2024-11-25.pdf</t>
  </si>
  <si>
    <t>¿Cuenta con estrategias de continuidad de negocio y recuperación ante desastres, para responder y dar continuidad a la prestación de sus servicios en caso de interrupción o materialización de dichos eventos?  Detalle cuáles son las estrategias.</t>
  </si>
  <si>
    <r>
      <rPr>
        <rFont val="Arial"/>
        <b/>
        <color theme="1"/>
        <sz val="11.0"/>
      </rPr>
      <t>a)</t>
    </r>
    <r>
      <rPr>
        <rFont val="Arial"/>
        <color theme="1"/>
        <sz val="11.0"/>
      </rPr>
      <t xml:space="preserve"> No tiene
</t>
    </r>
    <r>
      <rPr>
        <rFont val="Arial"/>
        <b/>
        <color theme="1"/>
        <sz val="11.0"/>
      </rPr>
      <t>b)</t>
    </r>
    <r>
      <rPr>
        <rFont val="Arial"/>
        <color theme="1"/>
        <sz val="11.0"/>
      </rPr>
      <t xml:space="preserve"> Se tienen con estrategias definidas y documentadas.
</t>
    </r>
    <r>
      <rPr>
        <rFont val="Arial"/>
        <b/>
        <color theme="1"/>
        <sz val="11.0"/>
      </rPr>
      <t>c)</t>
    </r>
    <r>
      <rPr>
        <rFont val="Arial"/>
        <color theme="1"/>
        <sz val="11.0"/>
      </rPr>
      <t xml:space="preserve"> Se cumple con el nivel bajo,  además, se cuenta con un área encargada de la administración de las estrategias. Estas se prueban frecuentemente y se mide su efectividad.
</t>
    </r>
    <r>
      <rPr>
        <rFont val="Arial"/>
        <b/>
        <color theme="1"/>
        <sz val="11.0"/>
      </rPr>
      <t>d)</t>
    </r>
    <r>
      <rPr>
        <rFont val="Arial"/>
        <color theme="1"/>
        <sz val="11.0"/>
      </rPr>
      <t xml:space="preserve"> Se cumple con el nivel medio, además, se optimizan las estrategias de continuidad y se garantiza un mejoramiento continuo de estas. 
</t>
    </r>
  </si>
  <si>
    <t xml:space="preserve">Nuestras estrategias incluyen planes documentados para el restablecimiento de operaciones críticas y procedimientos de emergencia y recuperación.
Estos planes son revisados y actualizados periódicamente ante cambios, y probados exhaustivamente con simulaciones y recuperación en sitios alternativos. Así, garantizamos una respuesta asertiva y la continuidad del negocio, minimizando impactos. Adjunto: PO-TI-01- Continuidad de Procesamiento de Datos_v2.1_2024-11-25.pdf
</t>
  </si>
  <si>
    <t>¿Las estrategias y/o planes de contingencia cubren los frentes de: empleados, procesos, infraestructura y tecnología?</t>
  </si>
  <si>
    <r>
      <rPr>
        <rFont val="Arial"/>
        <b/>
        <color theme="1"/>
        <sz val="11.0"/>
      </rPr>
      <t xml:space="preserve">a) </t>
    </r>
    <r>
      <rPr>
        <rFont val="Arial"/>
        <color theme="1"/>
        <sz val="11.0"/>
      </rPr>
      <t xml:space="preserve">No tiene
</t>
    </r>
    <r>
      <rPr>
        <rFont val="Arial"/>
        <b/>
        <color theme="1"/>
        <sz val="11.0"/>
      </rPr>
      <t>b)</t>
    </r>
    <r>
      <rPr>
        <rFont val="Arial"/>
        <color theme="1"/>
        <sz val="11.0"/>
      </rPr>
      <t xml:space="preserve"> Tiene estrategias en un frente
</t>
    </r>
    <r>
      <rPr>
        <rFont val="Arial"/>
        <b/>
        <color theme="1"/>
        <sz val="11.0"/>
      </rPr>
      <t>c)</t>
    </r>
    <r>
      <rPr>
        <rFont val="Arial"/>
        <color theme="1"/>
        <sz val="11.0"/>
      </rPr>
      <t xml:space="preserve"> Tiene estrategias en dos frentes
</t>
    </r>
    <r>
      <rPr>
        <rFont val="Arial"/>
        <b/>
        <color theme="1"/>
        <sz val="11.0"/>
      </rPr>
      <t>d)</t>
    </r>
    <r>
      <rPr>
        <rFont val="Arial"/>
        <color theme="1"/>
        <sz val="11.0"/>
      </rPr>
      <t xml:space="preserve"> Tiene estrategias en todos los frentes</t>
    </r>
  </si>
  <si>
    <t>Cumplimos con una cobertura integral en nuestros planes de continuidad del procesamiento. Estos consideran la instrucción adecuada de nuestro personal, los procesos críticos del negocio, así como nuestra infraestructura y sistemas tecnológicos, asegurando la resiliencia operativa, Adjunto:  PO-TI-01- Continuidad de Procesamiento de Datos_v2.1_2024-11-25.pdf</t>
  </si>
  <si>
    <t>¿Ejecuta pruebas en el año sobre sus estrategias de continuidad de los diferentes frentes?</t>
  </si>
  <si>
    <r>
      <rPr>
        <rFont val="Arial"/>
        <b/>
        <color theme="1"/>
        <sz val="11.0"/>
      </rPr>
      <t>a)</t>
    </r>
    <r>
      <rPr>
        <rFont val="Arial"/>
        <color theme="1"/>
        <sz val="11.0"/>
      </rPr>
      <t xml:space="preserve"> Si
</t>
    </r>
    <r>
      <rPr>
        <rFont val="Arial"/>
        <b/>
        <color theme="1"/>
        <sz val="11.0"/>
      </rPr>
      <t>b)</t>
    </r>
    <r>
      <rPr>
        <rFont val="Arial"/>
        <color theme="1"/>
        <sz val="11.0"/>
      </rPr>
      <t xml:space="preserve"> No</t>
    </r>
  </si>
  <si>
    <t>Nuestros planes son probados al menos una vez al año, así como los servicios de proveedores externos, para garantizar su actualización y funcionalidad en situaciones reales. Adjunto: PO-TI-01- Continuidad de Procesamiento de Datos_v2.1_2024-11-25.pdf</t>
  </si>
  <si>
    <t>¿Cuál fue el porcentaje de pruebas exitosas sobre sus estrategias de continuidad que ejecutó en el año? Indique la cantidad total de pruebas programadas.</t>
  </si>
  <si>
    <r>
      <rPr>
        <rFont val="Arial"/>
        <b/>
        <color theme="1"/>
        <sz val="11.0"/>
      </rPr>
      <t xml:space="preserve">a) </t>
    </r>
    <r>
      <rPr>
        <rFont val="Arial"/>
        <color theme="1"/>
        <sz val="11.0"/>
      </rPr>
      <t xml:space="preserve">No aplica 
</t>
    </r>
    <r>
      <rPr>
        <rFont val="Arial"/>
        <b/>
        <color theme="1"/>
        <sz val="11.0"/>
      </rPr>
      <t>b)</t>
    </r>
    <r>
      <rPr>
        <rFont val="Arial"/>
        <color theme="1"/>
        <sz val="11.0"/>
      </rPr>
      <t xml:space="preserve"> Entre 10% y 40%
</t>
    </r>
    <r>
      <rPr>
        <rFont val="Arial"/>
        <b/>
        <color theme="1"/>
        <sz val="11.0"/>
      </rPr>
      <t>c)</t>
    </r>
    <r>
      <rPr>
        <rFont val="Arial"/>
        <color theme="1"/>
        <sz val="11.0"/>
      </rPr>
      <t xml:space="preserve"> Entre 41% y 80%
</t>
    </r>
    <r>
      <rPr>
        <rFont val="Arial"/>
        <b/>
        <color theme="1"/>
        <sz val="11.0"/>
      </rPr>
      <t>d)</t>
    </r>
    <r>
      <rPr>
        <rFont val="Arial"/>
        <color theme="1"/>
        <sz val="11.0"/>
      </rPr>
      <t xml:space="preserve"> Entre 81% y 100%</t>
    </r>
  </si>
  <si>
    <t>El 100% de las pruebas de planes resultaron exitosas.</t>
  </si>
  <si>
    <t>¿Tiene su organización un esquema de gestión de crisis para la recuperación del servicio que presta al banco? Detállelas.</t>
  </si>
  <si>
    <r>
      <rPr>
        <rFont val="Arial"/>
        <b/>
        <color theme="1"/>
        <sz val="11.0"/>
      </rPr>
      <t xml:space="preserve">a) </t>
    </r>
    <r>
      <rPr>
        <rFont val="Arial"/>
        <color theme="1"/>
        <sz val="11.0"/>
      </rPr>
      <t xml:space="preserve">No tiene
</t>
    </r>
    <r>
      <rPr>
        <rFont val="Arial"/>
        <b/>
        <color theme="1"/>
        <sz val="11.0"/>
      </rPr>
      <t>b)</t>
    </r>
    <r>
      <rPr>
        <rFont val="Arial"/>
        <color theme="1"/>
        <sz val="11.0"/>
      </rPr>
      <t xml:space="preserve"> Se cuentan con un esquema de gestión de crisis definido y documentado
</t>
    </r>
    <r>
      <rPr>
        <rFont val="Arial"/>
        <b/>
        <color theme="1"/>
        <sz val="11.0"/>
      </rPr>
      <t>c)</t>
    </r>
    <r>
      <rPr>
        <rFont val="Arial"/>
        <color theme="1"/>
        <sz val="11.0"/>
      </rPr>
      <t xml:space="preserve"> Se cumple con el nivel bajo,  además, se cuenta con un área encargada de la administración de la gestión de crisis. Este esquema se prueba frecuentemente y se mide su efectividad
</t>
    </r>
    <r>
      <rPr>
        <rFont val="Arial"/>
        <b/>
        <color theme="1"/>
        <sz val="11.0"/>
      </rPr>
      <t>d)</t>
    </r>
    <r>
      <rPr>
        <rFont val="Arial"/>
        <color theme="1"/>
        <sz val="11.0"/>
      </rPr>
      <t xml:space="preserve"> Se cumple con el nivel medio, además se optimizan el esquema de gestión de crisis  y se garantiza un mejoramiento continuo</t>
    </r>
  </si>
  <si>
    <t>Adjunto: PO-TI-01- Continuidad de Procesamiento de Datos_v2.1_2024-11-25.pdf</t>
  </si>
  <si>
    <t>¿Cuáles son los tiempos de recuperación que presenta el servicio ofrecido, ante una interrupción del mismo? Detállelos.</t>
  </si>
  <si>
    <r>
      <rPr>
        <rFont val="Arial"/>
        <b/>
        <color theme="1"/>
        <sz val="11.0"/>
      </rPr>
      <t xml:space="preserve">a) </t>
    </r>
    <r>
      <rPr>
        <rFont val="Arial"/>
        <color theme="1"/>
        <sz val="11.0"/>
      </rPr>
      <t xml:space="preserve">No tiene
</t>
    </r>
    <r>
      <rPr>
        <rFont val="Arial"/>
        <b/>
        <color theme="1"/>
        <sz val="11.0"/>
      </rPr>
      <t>b)</t>
    </r>
    <r>
      <rPr>
        <rFont val="Arial"/>
        <color theme="1"/>
        <sz val="11.0"/>
      </rPr>
      <t xml:space="preserve"> Mayor de 12 horas
</t>
    </r>
    <r>
      <rPr>
        <rFont val="Arial"/>
        <b/>
        <color theme="1"/>
        <sz val="11.0"/>
      </rPr>
      <t>c)</t>
    </r>
    <r>
      <rPr>
        <rFont val="Arial"/>
        <color theme="1"/>
        <sz val="11.0"/>
      </rPr>
      <t xml:space="preserve"> Entre 4.5 y 12 horas
</t>
    </r>
    <r>
      <rPr>
        <rFont val="Arial"/>
        <b/>
        <color theme="1"/>
        <sz val="11.0"/>
      </rPr>
      <t>d)</t>
    </r>
    <r>
      <rPr>
        <rFont val="Arial"/>
        <color theme="1"/>
        <sz val="11.0"/>
      </rPr>
      <t xml:space="preserve"> Entre 0 y 4 horas</t>
    </r>
  </si>
  <si>
    <t>El tiempo estimado de recuperación es de 8 hs.</t>
  </si>
  <si>
    <t>CATEGORÍA: Mantenimiento e Instalación</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</si>
  <si>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realizan capacitaciones internas al inicio de la relación con el colaborador</t>
    </r>
    <r>
      <rPr>
        <rFont val="Arial"/>
        <b/>
        <color theme="1"/>
        <sz val="11.0"/>
      </rPr>
      <t xml:space="preserve">
c) </t>
    </r>
    <r>
      <rPr>
        <rFont val="Arial"/>
        <b val="0"/>
        <color theme="1"/>
        <sz val="11.0"/>
      </rPr>
      <t>se realizan capacitaciones internas periodicas o a demanda</t>
    </r>
    <r>
      <rPr>
        <rFont val="Arial"/>
        <b/>
        <color theme="1"/>
        <sz val="11.0"/>
      </rPr>
      <t xml:space="preserve">
d) </t>
    </r>
    <r>
      <rPr>
        <rFont val="Arial"/>
        <b val="0"/>
        <color theme="1"/>
        <sz val="11.0"/>
      </rPr>
      <t>se realizan capacitaciones internas y externas por lo menos 4 veces al año</t>
    </r>
  </si>
  <si>
    <t>Contamos con mecanismos para que nuestro personal reciba actualizaciones regulares en políticas y procedimientos, relevantes a su función. Informamos periódicamente sobre aspectos de seguridad y revisamos anualmente el nivel de conocimiento, asegurando la prestación del servicio.</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</si>
  <si>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solicita al inicio de relación con el colaborador estudios acorde al puesto a desempeñar</t>
    </r>
    <r>
      <rPr>
        <rFont val="Arial"/>
        <b/>
        <color theme="1"/>
        <sz val="11.0"/>
      </rPr>
      <t xml:space="preserve">
c) </t>
    </r>
    <r>
      <rPr>
        <rFont val="Arial"/>
        <b val="0"/>
        <color theme="1"/>
        <sz val="11.0"/>
      </rPr>
      <t>se solicitan certificaciones específicas de conocimientos adicionales a los estudios universitarios y según su vigencia</t>
    </r>
  </si>
  <si>
    <t>Adjunto: NO-RH-01 Contratación de Recursos Humanos_v2.1_2025-04-30.pdf</t>
  </si>
  <si>
    <t>¿Los materiales y/o herramientas utilizadas para realizar el mantenimiento a los activos propiedad del banco, cuentan con certificaciones y fichas técinas que garanticen la calidad requerida para ejecutar el trabajo?</t>
  </si>
  <si>
    <r>
      <rPr>
        <rFont val="Arial"/>
        <b/>
        <color theme="1"/>
        <sz val="11.0"/>
      </rPr>
      <t xml:space="preserve">a) </t>
    </r>
    <r>
      <rPr>
        <rFont val="Arial"/>
        <b val="0"/>
        <color theme="1"/>
        <sz val="11.0"/>
      </rPr>
      <t xml:space="preserve">No se tiene
</t>
    </r>
    <r>
      <rPr>
        <rFont val="Arial"/>
        <b/>
        <color theme="1"/>
        <sz val="11.0"/>
      </rPr>
      <t xml:space="preserve">b) </t>
    </r>
    <r>
      <rPr>
        <rFont val="Arial"/>
        <b val="0"/>
        <color theme="1"/>
        <sz val="11.0"/>
      </rPr>
      <t xml:space="preserve">se buscan las opciones con mejor precio en el mercado referenciandose en la marca como la calidad que se pueda ofrecer
</t>
    </r>
    <r>
      <rPr>
        <rFont val="Arial"/>
        <b/>
        <color theme="1"/>
        <sz val="11.0"/>
      </rPr>
      <t xml:space="preserve">c) </t>
    </r>
    <r>
      <rPr>
        <rFont val="Arial"/>
        <b val="0"/>
        <color theme="1"/>
        <sz val="11.0"/>
      </rPr>
      <t>se solicita a los proveedores documentos que certifique la calidad de los insumos utilizados</t>
    </r>
    <r>
      <rPr>
        <rFont val="Arial"/>
        <b/>
        <color theme="1"/>
        <sz val="11.0"/>
      </rPr>
      <t xml:space="preserve">
d) </t>
    </r>
    <r>
      <rPr>
        <rFont val="Arial"/>
        <b val="0"/>
        <color theme="1"/>
        <sz val="11.0"/>
      </rPr>
      <t>se busca mejorar la calidad cotizando continuamente opciones en el mercado y se realizan pruebas de calidad previo a la adquirencia del nuevo equipo de trabajo</t>
    </r>
  </si>
  <si>
    <t>No aplica.</t>
  </si>
  <si>
    <t>¿Los suministros proporcionados al banco cuentan con certificados de garantía, pruebas de calidad y/o fichas técinas para su correcto funcionamiento?</t>
  </si>
  <si>
    <r>
      <rPr>
        <rFont val="Arial"/>
        <b/>
        <color theme="1"/>
        <sz val="11.0"/>
      </rPr>
      <t xml:space="preserve">a) </t>
    </r>
    <r>
      <rPr>
        <rFont val="Arial"/>
        <b val="0"/>
        <color theme="1"/>
        <sz val="11.0"/>
      </rPr>
      <t>No aplica</t>
    </r>
    <r>
      <rPr>
        <rFont val="Arial"/>
        <b/>
        <color theme="1"/>
        <sz val="11.0"/>
      </rPr>
      <t xml:space="preserve">
b) </t>
    </r>
    <r>
      <rPr>
        <rFont val="Arial"/>
        <b val="0"/>
        <color theme="1"/>
        <sz val="11.0"/>
      </rPr>
      <t>No se tiene</t>
    </r>
    <r>
      <rPr>
        <rFont val="Arial"/>
        <b/>
        <color theme="1"/>
        <sz val="11.0"/>
      </rPr>
      <t xml:space="preserve">
c) </t>
    </r>
    <r>
      <rPr>
        <rFont val="Arial"/>
        <b val="0"/>
        <color theme="1"/>
        <sz val="11.0"/>
      </rPr>
      <t>se buscan las opciones con mejor precio en el mercado referenciandose en la marca como la calidad que se pueda ofrecer</t>
    </r>
    <r>
      <rPr>
        <rFont val="Arial"/>
        <b/>
        <color theme="1"/>
        <sz val="11.0"/>
      </rPr>
      <t xml:space="preserve">
d) </t>
    </r>
    <r>
      <rPr>
        <rFont val="Arial"/>
        <b val="0"/>
        <color theme="1"/>
        <sz val="11.0"/>
      </rPr>
      <t xml:space="preserve">se solicita a los proveedores documentos que certifique la calidad y garantía de los insumos utilizados
</t>
    </r>
    <r>
      <rPr>
        <rFont val="Arial"/>
        <b/>
        <color theme="1"/>
        <sz val="11.0"/>
      </rPr>
      <t xml:space="preserve">e) </t>
    </r>
    <r>
      <rPr>
        <rFont val="Arial"/>
        <b val="0"/>
        <color theme="1"/>
        <sz val="11.0"/>
      </rPr>
      <t>se busca mejorar la calidad cotizando continuamente opciones en el mercado y se realizan pruebas de calidad previo a la adquirencia del nuevo equipo de trabajo</t>
    </r>
  </si>
  <si>
    <t>¿Cuenta con un sistema o procedimiento para notificar la llegada de sus colaboradores a las instalaciones de Bam?</t>
  </si>
  <si>
    <r>
      <rPr>
        <rFont val="Arial"/>
        <b/>
        <color theme="1"/>
        <sz val="11.0"/>
      </rPr>
      <t>a)</t>
    </r>
    <r>
      <rPr>
        <rFont val="Arial"/>
        <color theme="1"/>
        <sz val="11.0"/>
      </rPr>
      <t xml:space="preserve"> No se tiene
</t>
    </r>
    <r>
      <rPr>
        <rFont val="Arial"/>
        <b/>
        <color theme="1"/>
        <sz val="11.0"/>
      </rPr>
      <t>b)</t>
    </r>
    <r>
      <rPr>
        <rFont val="Arial"/>
        <color theme="1"/>
        <sz val="11.0"/>
      </rPr>
      <t xml:space="preserve"> se notifica al cliente por medio de llamada el día y hora que se brindará el mantenimiento, así como, se solicita a los colaboradores que porten su gafete de identificación
</t>
    </r>
    <r>
      <rPr>
        <rFont val="Arial"/>
        <b/>
        <color theme="1"/>
        <sz val="11.0"/>
      </rPr>
      <t>c)</t>
    </r>
    <r>
      <rPr>
        <rFont val="Arial"/>
        <color theme="1"/>
        <sz val="11.0"/>
      </rPr>
      <t xml:space="preserve"> se notifica al cliente por medio de correo electrónico u otro medio la llegada del colaborador, indicando datos como número de identificación personal, día y hora
</t>
    </r>
    <r>
      <rPr>
        <rFont val="Arial"/>
        <b/>
        <color theme="1"/>
        <sz val="11.0"/>
      </rPr>
      <t>d)</t>
    </r>
    <r>
      <rPr>
        <rFont val="Arial"/>
        <color theme="1"/>
        <sz val="11.0"/>
      </rPr>
      <t xml:space="preserve"> se cuenta con una plataforma en la cual es posible corroborar que los empleados se encuentren activos</t>
    </r>
  </si>
  <si>
    <t>No aplica. Nuestro personal no requiere acceso a las instalaciones del cliente para realizar su trabajo.</t>
  </si>
  <si>
    <t>¿Posee estrategias de continuidad que permitan cumplir los plazos definidos para la implementación de proyectos?</t>
  </si>
  <si>
    <r>
      <rPr>
        <rFont val="Arial"/>
        <b/>
        <color theme="1"/>
        <sz val="11.0"/>
      </rPr>
      <t xml:space="preserve">a) </t>
    </r>
    <r>
      <rPr>
        <rFont val="Arial"/>
        <color theme="1"/>
        <sz val="11.0"/>
      </rPr>
      <t xml:space="preserve">No aplica
</t>
    </r>
    <r>
      <rPr>
        <rFont val="Arial"/>
        <b/>
        <color theme="1"/>
        <sz val="11.0"/>
      </rPr>
      <t xml:space="preserve">b) </t>
    </r>
    <r>
      <rPr>
        <rFont val="Arial"/>
        <color theme="1"/>
        <sz val="11.0"/>
      </rPr>
      <t xml:space="preserve">No se tiene
</t>
    </r>
    <r>
      <rPr>
        <rFont val="Arial"/>
        <b/>
        <color theme="1"/>
        <sz val="11.0"/>
      </rPr>
      <t>c)</t>
    </r>
    <r>
      <rPr>
        <rFont val="Arial"/>
        <color theme="1"/>
        <sz val="11.0"/>
      </rPr>
      <t xml:space="preserve"> se definen los plazos entre ambas partes (proveedor y cliente) para la entrega del proyecto por fases
</t>
    </r>
    <r>
      <rPr>
        <rFont val="Arial"/>
        <b/>
        <color theme="1"/>
        <sz val="11.0"/>
      </rPr>
      <t>d)</t>
    </r>
    <r>
      <rPr>
        <rFont val="Arial"/>
        <color theme="1"/>
        <sz val="11.0"/>
      </rPr>
      <t xml:space="preserve"> se define un responsable por parte del proveedor quien vele por cumplir por los plazos definidos
</t>
    </r>
    <r>
      <rPr>
        <rFont val="Arial"/>
        <b/>
        <color theme="1"/>
        <sz val="11.0"/>
      </rPr>
      <t>e)</t>
    </r>
    <r>
      <rPr>
        <rFont val="Arial"/>
        <color theme="1"/>
        <sz val="11.0"/>
      </rPr>
      <t xml:space="preserve"> ante una interrupción por personas, equipo o cualquier otro evento, se cuenta con estrategias de reacción definidas</t>
    </r>
  </si>
  <si>
    <t>Esto solo aplica para la etapa de configuración inicial de Intiza. Una vez operativo la administración será de personal de Bam quienes podran hacer ajustes o cambioas a la configuración o solicitar soporte especifico para hacerlo.</t>
  </si>
  <si>
    <t>Derivado a fallas del sistema o equipo instalado ¿cuenta con tiempos definidos para la atención de los problemas?</t>
  </si>
  <si>
    <r>
      <rPr>
        <rFont val="Arial"/>
        <b/>
        <color theme="1"/>
        <sz val="11.0"/>
      </rPr>
      <t xml:space="preserve">a) </t>
    </r>
    <r>
      <rPr>
        <rFont val="Arial"/>
        <b val="0"/>
        <color theme="1"/>
        <sz val="11.0"/>
      </rPr>
      <t>No Aplica</t>
    </r>
    <r>
      <rPr>
        <rFont val="Arial"/>
        <b/>
        <color theme="1"/>
        <sz val="11.0"/>
      </rPr>
      <t xml:space="preserve">
b) </t>
    </r>
    <r>
      <rPr>
        <rFont val="Arial"/>
        <b val="0"/>
        <color theme="1"/>
        <sz val="11.0"/>
      </rPr>
      <t>No se tiene</t>
    </r>
    <r>
      <rPr>
        <rFont val="Arial"/>
        <b/>
        <color theme="1"/>
        <sz val="11.0"/>
      </rPr>
      <t xml:space="preserve">
c) </t>
    </r>
    <r>
      <rPr>
        <rFont val="Arial"/>
        <b val="0"/>
        <color theme="1"/>
        <sz val="11.0"/>
      </rPr>
      <t>se deja la trazabilidad del evento por correo o llamada unicamente</t>
    </r>
    <r>
      <rPr>
        <rFont val="Arial"/>
        <b/>
        <color theme="1"/>
        <sz val="11.0"/>
      </rPr>
      <t xml:space="preserve">
d) </t>
    </r>
    <r>
      <rPr>
        <rFont val="Arial"/>
        <b val="0"/>
        <color theme="1"/>
        <sz val="11.0"/>
      </rPr>
      <t>se cuenta con un sistema de ingreso de tickets que brinda seguimiento a las solicitudes de los clientes</t>
    </r>
    <r>
      <rPr>
        <rFont val="Arial"/>
        <b/>
        <color theme="1"/>
        <sz val="11.0"/>
      </rPr>
      <t xml:space="preserve">
e) </t>
    </r>
    <r>
      <rPr>
        <rFont val="Arial"/>
        <b val="0"/>
        <color theme="1"/>
        <sz val="11.0"/>
      </rPr>
      <t>se tienen SLA definidos en función a la criticidad del evento y el personal suficiente para la atención de los mismos</t>
    </r>
  </si>
  <si>
    <t>E</t>
  </si>
  <si>
    <t>Contamos con tiempos de respuesta definidos para la atención de problemas derivados de fallas. Estos se clasifican por criticidad, según sea Alta, Media o Baja. Adjunto: SLA Intiza - Acuerdo de Nivel de Servicio.png</t>
  </si>
  <si>
    <t>¿Cómo garantiza brindar el mantenimiento y actualización o cambio oportuno a los sistemas y/o equipos instalados en el Banco?</t>
  </si>
  <si>
    <r>
      <rPr>
        <rFont val="Arial"/>
        <b/>
        <color theme="1"/>
        <sz val="11.0"/>
      </rPr>
      <t xml:space="preserve">a) </t>
    </r>
    <r>
      <rPr>
        <rFont val="Arial"/>
        <b val="0"/>
        <color theme="1"/>
        <sz val="11.0"/>
      </rPr>
      <t>No Aplica</t>
    </r>
    <r>
      <rPr>
        <rFont val="Arial"/>
        <b/>
        <color theme="1"/>
        <sz val="11.0"/>
      </rPr>
      <t xml:space="preserve">
b) </t>
    </r>
    <r>
      <rPr>
        <rFont val="Arial"/>
        <b val="0"/>
        <color theme="1"/>
        <sz val="11.0"/>
      </rPr>
      <t>No se tiene</t>
    </r>
    <r>
      <rPr>
        <rFont val="Arial"/>
        <b/>
        <color theme="1"/>
        <sz val="11.0"/>
      </rPr>
      <t xml:space="preserve">
c) </t>
    </r>
    <r>
      <rPr>
        <rFont val="Arial"/>
        <b val="0"/>
        <color theme="1"/>
        <sz val="11.0"/>
      </rPr>
      <t>se cuenta con un programa definido en el cual se lleva el control de cambios de equipo y mantenimiento</t>
    </r>
    <r>
      <rPr>
        <rFont val="Arial"/>
        <b/>
        <color theme="1"/>
        <sz val="11.0"/>
      </rPr>
      <t xml:space="preserve">
d) </t>
    </r>
    <r>
      <rPr>
        <rFont val="Arial"/>
        <b val="0"/>
        <color theme="1"/>
        <sz val="11.0"/>
      </rPr>
      <t>el cumplimiento de los tiempos definidos en el programa está supervisado por un colaborador</t>
    </r>
    <r>
      <rPr>
        <rFont val="Arial"/>
        <b/>
        <color theme="1"/>
        <sz val="11.0"/>
      </rPr>
      <t xml:space="preserve">
e) </t>
    </r>
    <r>
      <rPr>
        <rFont val="Arial"/>
        <b val="0"/>
        <color theme="1"/>
        <sz val="11.0"/>
      </rPr>
      <t>el cumplimiento de los tiempos definidos en el programa está supervisado por dos o más colaboradores</t>
    </r>
  </si>
  <si>
    <t>No aplica. Es un sistema SaaS, no hay sistemas ni equipos intalados en el cliente.</t>
  </si>
  <si>
    <t>Una vez finalizada la instalación y/o mantenimiento del equipo o sistema, ¿cómo garantiza a su cliente la correcta funcionalidad y utilidad de los mismos?</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</si>
  <si>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el proveedor ejecuta pruebas y se envía un correo de notificación al cliente sobre el trabajo finalizado</t>
    </r>
    <r>
      <rPr>
        <rFont val="Arial"/>
        <b/>
        <color theme="1"/>
        <sz val="11.0"/>
      </rPr>
      <t xml:space="preserve">
c) </t>
    </r>
    <r>
      <rPr>
        <rFont val="Arial"/>
        <b val="0"/>
        <color theme="1"/>
        <sz val="11.0"/>
      </rPr>
      <t>se firma un documento entre ambas partes (cliente y proveedor) que detalle las pruebas realizadas para certificar la funcionalidad y utilidad</t>
    </r>
  </si>
  <si>
    <t xml:space="preserve">Nosotros garantizamos el mantenimiento y actualización del software mediante nuestra Norma de Gestión de Cambios, que incluye planificación, análisis de riesgos y pruebas en ambientes dedicados. Nuestra Norma de Gestión de Vulnerabilidades y Parches asegura la aplicación oportuna de parches críticos por personal idóneo. Realizamos pruebas previas, validamos rollback y mantenemos los sistemas actualizados a un nivel n-3, asegurando su estabilidad y seguridad. Adjunto:
- NO-TI-04 Gestión de Cambios_v2.2_2025-10-28.pdf, 
- NO-SI-13 Gestión de Vulnerabilidades y Parches_v2.1_2024-08-09.pdf
</t>
  </si>
  <si>
    <t>CATEGORÍA: Trámites</t>
  </si>
  <si>
    <t>¿Cuenta con acreditaciones que les permita realizar distintos tramites de licencias o permisos legales en las instituciones publicas?</t>
  </si>
  <si>
    <t>¿Existe capacitación continua a empleados que garantice el conocimiento de las leyes y normativas vigentes?</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</si>
  <si>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realizan capacitaciones internas al inicio de la relación con el colaborador</t>
    </r>
    <r>
      <rPr>
        <rFont val="Arial"/>
        <b/>
        <color theme="1"/>
        <sz val="11.0"/>
      </rPr>
      <t xml:space="preserve">
c) </t>
    </r>
    <r>
      <rPr>
        <rFont val="Arial"/>
        <b val="0"/>
        <color theme="1"/>
        <sz val="11.0"/>
      </rPr>
      <t>se realizan capacitaciones internas a demanda</t>
    </r>
    <r>
      <rPr>
        <rFont val="Arial"/>
        <b/>
        <color theme="1"/>
        <sz val="11.0"/>
      </rPr>
      <t xml:space="preserve">
d)</t>
    </r>
    <r>
      <rPr>
        <rFont val="Arial"/>
        <b val="0"/>
        <color theme="1"/>
        <sz val="11.0"/>
      </rPr>
      <t xml:space="preserve"> se realizan capacitaciones internas y externas por lo menos 2 veces al año</t>
    </r>
  </si>
  <si>
    <t>¿Realiza notificaciones constantes del avance y estado de las diferentes fases de los tramites asignados por el cliente?</t>
  </si>
  <si>
    <r>
      <rPr>
        <rFont val="Arial"/>
        <b/>
        <color theme="1"/>
        <sz val="11.0"/>
      </rPr>
      <t xml:space="preserve">a) </t>
    </r>
    <r>
      <rPr>
        <rFont val="Arial"/>
        <b val="0"/>
        <color theme="1"/>
        <sz val="11.0"/>
      </rPr>
      <t xml:space="preserve">No se realiza
</t>
    </r>
    <r>
      <rPr>
        <rFont val="Arial"/>
        <b/>
        <color theme="1"/>
        <sz val="11.0"/>
      </rPr>
      <t xml:space="preserve">b) </t>
    </r>
    <r>
      <rPr>
        <rFont val="Arial"/>
        <b val="0"/>
        <color theme="1"/>
        <sz val="11.0"/>
      </rPr>
      <t>se deja detallado en cronograma de ejecución de actividades al inicio de relación.</t>
    </r>
    <r>
      <rPr>
        <rFont val="Arial"/>
        <b/>
        <color theme="1"/>
        <sz val="11.0"/>
      </rPr>
      <t xml:space="preserve">
c)</t>
    </r>
    <r>
      <rPr>
        <rFont val="Arial"/>
        <b val="0"/>
        <color theme="1"/>
        <sz val="11.0"/>
      </rPr>
      <t xml:space="preserve"> se detalla en cronograma y se realiza notificaciones a demanda.</t>
    </r>
    <r>
      <rPr>
        <rFont val="Arial"/>
        <b/>
        <color theme="1"/>
        <sz val="11.0"/>
      </rPr>
      <t xml:space="preserve">
d) </t>
    </r>
    <r>
      <rPr>
        <rFont val="Arial"/>
        <b val="0"/>
        <color theme="1"/>
        <sz val="11.0"/>
      </rPr>
      <t>se traslada cronograma de ejecución de actividades y se realiza notificaciones semanales del avence y estado del tramite.</t>
    </r>
  </si>
  <si>
    <t>¿Cuál es el procedimiento utilizado para llevar a cabo el seguimiento y estado de los casos activos asignados? Detalle sus estrategias de continuidad en caso ocurra una interrupción por personas, infraestructura y/o tecnología.</t>
  </si>
  <si>
    <t>¿Cuál es el método utilizado para garantizar el resguardo y almacenaje de la documentación de los casos asignados?</t>
  </si>
  <si>
    <t>CATEGORÍA Arrendamientos Bienes Inmuebles</t>
  </si>
  <si>
    <t>¿Cuenta con seguros vigentes para la propiedad? (Incendios, desastres naturales, etc).</t>
  </si>
  <si>
    <r>
      <rPr>
        <rFont val="Arial"/>
        <b/>
        <color theme="1"/>
        <sz val="11.0"/>
      </rPr>
      <t xml:space="preserve">a) </t>
    </r>
    <r>
      <rPr>
        <rFont val="Arial"/>
        <b val="0"/>
        <color theme="1"/>
        <sz val="11.0"/>
      </rPr>
      <t>No tiene</t>
    </r>
    <r>
      <rPr>
        <rFont val="Arial"/>
        <b/>
        <color theme="1"/>
        <sz val="11.0"/>
      </rPr>
      <t xml:space="preserve">
b)</t>
    </r>
    <r>
      <rPr>
        <rFont val="Arial"/>
        <b val="0"/>
        <color theme="1"/>
        <sz val="11.0"/>
      </rPr>
      <t xml:space="preserve"> se cuenta con una póliza generalizada ante un evento por desastres naturales</t>
    </r>
    <r>
      <rPr>
        <rFont val="Arial"/>
        <b/>
        <color theme="1"/>
        <sz val="11.0"/>
      </rPr>
      <t xml:space="preserve">
c) </t>
    </r>
    <r>
      <rPr>
        <rFont val="Arial"/>
        <b val="0"/>
        <color theme="1"/>
        <sz val="11.0"/>
      </rPr>
      <t>se cuenta con una póliza detallada por eventos específicos (incendios, desastres naturales, vandalismo, entre otros).</t>
    </r>
  </si>
  <si>
    <t>¿Cuál es el protocolo en dado caso el inmueble rentado al banco presente fallas por no realizar un mantenimiento adecuado antes de la renta? (Electricidad, plomería, humedad, etc).</t>
  </si>
  <si>
    <t>¿Cuenta con constancias o certificados sobre mantenimientos preventivos realizados al inmueble? (Contra plagas, humedad, etc).</t>
  </si>
  <si>
    <t>CATEGORÍA: Corretaje</t>
  </si>
  <si>
    <t>¿Con que frecuencia verifica el alcance que poseen los medios que utiliza para brindar el servicio de promoción y comercialización? Y que criterios considera para la elección del mismo.</t>
  </si>
  <si>
    <r>
      <rPr>
        <rFont val="Arial"/>
        <b/>
        <color theme="1"/>
        <sz val="11.0"/>
      </rPr>
      <t xml:space="preserve">a) No se verifica el alcance
b) </t>
    </r>
    <r>
      <rPr>
        <rFont val="Arial"/>
        <b val="0"/>
        <color theme="1"/>
        <sz val="11.0"/>
      </rPr>
      <t>Se contempla el uso del medio por el cual se han realizado más colocaciones.</t>
    </r>
    <r>
      <rPr>
        <rFont val="Arial"/>
        <b/>
        <color theme="1"/>
        <sz val="11.0"/>
      </rPr>
      <t xml:space="preserve">
c) </t>
    </r>
    <r>
      <rPr>
        <rFont val="Arial"/>
        <b val="0"/>
        <color theme="1"/>
        <sz val="11.0"/>
      </rPr>
      <t xml:space="preserve">Se realizan estudios y pruebas para los medios con mayor alcance de visualizacones. </t>
    </r>
  </si>
  <si>
    <t>¿Cuenta con un protocolo definido para validar los criterios con los que debe cumplir el cliente para hacer una visita al inmueble?</t>
  </si>
  <si>
    <r>
      <rPr>
        <rFont val="Arial"/>
        <b/>
        <color theme="1"/>
        <sz val="11.0"/>
      </rPr>
      <t>a) No se tiene</t>
    </r>
    <r>
      <rPr>
        <rFont val="Arial"/>
        <color theme="1"/>
        <sz val="11.0"/>
      </rPr>
      <t xml:space="preserve">
</t>
    </r>
    <r>
      <rPr>
        <rFont val="Arial"/>
        <b/>
        <color theme="1"/>
        <sz val="11.0"/>
      </rPr>
      <t>b)</t>
    </r>
    <r>
      <rPr>
        <rFont val="Arial"/>
        <color theme="1"/>
        <sz val="11.0"/>
      </rPr>
      <t xml:space="preserve"> Se coordinan bajo solicitud del cliente y se brinda acompañamiento.
</t>
    </r>
    <r>
      <rPr>
        <rFont val="Arial"/>
        <b/>
        <color theme="1"/>
        <sz val="11.0"/>
      </rPr>
      <t xml:space="preserve">c) </t>
    </r>
    <r>
      <rPr>
        <rFont val="Arial"/>
        <color theme="1"/>
        <sz val="11.0"/>
      </rPr>
      <t xml:space="preserve">Se traslada información del activo al cliente para garantizar que es de su agrado e interés previo a la visita
</t>
    </r>
    <r>
      <rPr>
        <rFont val="Arial"/>
        <b/>
        <color theme="1"/>
        <sz val="11.0"/>
      </rPr>
      <t>d)</t>
    </r>
    <r>
      <rPr>
        <rFont val="Arial"/>
        <color theme="1"/>
        <sz val="11.0"/>
      </rPr>
      <t xml:space="preserve"> Se contacta al cliente para asegurar la correcta captación de información que garantizace que el activo cumpla con sus expectativas, para posterior coordinar una visita en conjunto al ejecutivo.</t>
    </r>
  </si>
  <si>
    <t>¿Cuenta con un protocolo definido para garantizar el correcto resguardo de los bienes inmubles visitados en conjunto con clientes potenciales? (ej. aseguramiento de cierre de puertas, visitas en horarios hábiles y cronometradas, evidencias de la gestión realizada con el cliente)</t>
  </si>
  <si>
    <t>CATEGORÍA: Accesos a Servidores o Aplicativos</t>
  </si>
  <si>
    <t>¿Qué tipo de acceso se le debe brindar a los aplicativos de Bam para ejecutar el servicio por contratar?</t>
  </si>
  <si>
    <r>
      <rPr>
        <rFont val="Arial"/>
        <b/>
        <color theme="1"/>
        <sz val="11.0"/>
      </rPr>
      <t xml:space="preserve">a) </t>
    </r>
    <r>
      <rPr>
        <rFont val="Arial"/>
        <color theme="1"/>
        <sz val="11.0"/>
      </rPr>
      <t xml:space="preserve">Administrador
</t>
    </r>
    <r>
      <rPr>
        <rFont val="Arial"/>
        <b/>
        <color theme="1"/>
        <sz val="11.0"/>
      </rPr>
      <t xml:space="preserve">b) </t>
    </r>
    <r>
      <rPr>
        <rFont val="Arial"/>
        <color theme="1"/>
        <sz val="11.0"/>
      </rPr>
      <t xml:space="preserve">Modificador 
</t>
    </r>
    <r>
      <rPr>
        <rFont val="Arial"/>
        <b/>
        <color theme="1"/>
        <sz val="11.0"/>
      </rPr>
      <t xml:space="preserve">c) </t>
    </r>
    <r>
      <rPr>
        <rFont val="Arial"/>
        <color theme="1"/>
        <sz val="11.0"/>
      </rPr>
      <t>Visualizador</t>
    </r>
  </si>
  <si>
    <t>No aplica. Intiza accede a los aplicativos de Bam.</t>
  </si>
  <si>
    <t>¿La Organización tiene un proceso implementado para la revocación de permisos en sistemas de información cuando el personal (empleado, proveedor) finalice una actividad, cambie de rol o cese el contrato? Especificar su respuesta en la columna "Detalle"</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</si>
  <si>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</si>
  <si>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Los accesos se deshabilitan el mismo día de la desvinculación del colaborador, con revisiones automáticas cada hora. Para terceros, el acceso es controlado por el período definido en su contrato. Adjunto: NO-SI-02- Gestión de Cuentas de Usuarios_v2.1.docx.pdf
</t>
  </si>
  <si>
    <t>¿Qué mecanismos de autenticación utiliza para el ingreso de los usuarios a los equipos que procesan información?</t>
  </si>
  <si>
    <t>El acceso se realiza con usuario y contraseña. Además nuestra plataforma soporta SSO (OIDC, SAML, OAuth) y ofrece Autenticación Multifactor para IDs de usuario final, mediante código enviado a su email.</t>
  </si>
  <si>
    <t>¿Bajo qué esquema o modalidad de trabajo laboran sus colaboradores?</t>
  </si>
  <si>
    <r>
      <rPr>
        <rFont val="Arial"/>
        <b/>
        <color theme="1"/>
        <sz val="11.0"/>
      </rPr>
      <t xml:space="preserve">a) </t>
    </r>
    <r>
      <rPr>
        <rFont val="Arial"/>
        <color theme="1"/>
        <sz val="11.0"/>
      </rPr>
      <t xml:space="preserve">Híbrido
</t>
    </r>
    <r>
      <rPr>
        <rFont val="Arial"/>
        <b/>
        <color theme="1"/>
        <sz val="11.0"/>
      </rPr>
      <t xml:space="preserve">b) </t>
    </r>
    <r>
      <rPr>
        <rFont val="Arial"/>
        <color theme="1"/>
        <sz val="11.0"/>
      </rPr>
      <t>Presencial</t>
    </r>
  </si>
  <si>
    <t>¿El proveedor va a requerir conexión física o lógica (a través de internet, acceso remoto (VPNs), u otros) al datacenter, sistemas centrales o core del Banco como I-Series, ATMs, Servidores o sistemas declarados como SOX y BIA?</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</si>
  <si>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</si>
  <si>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Cuando es necesario trasladar paquetes de datos ¿se utilizan procotocolos de transferencia segura? Ej. FTPS.  Especificar cuales. </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</si>
  <si>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</si>
  <si>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Nuestra plataforma emplea cifrado de extremo a extremo para todos los paquetes de datos en tránsito, asegurando la máxima confidencialidad y protección contra interceptaciones malintencionadas. Adjunto: NO-SI-20 Cifrado de la Información_v1.1_2024-07-10.pdf</t>
  </si>
  <si>
    <t>¿Realizará mantenimientos a bases de datos o registros de Bam que tengan implicación o afectación en los reportes financiero?</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</si>
  <si>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</si>
  <si>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¿El proveedor administrará, parametrizará y/o realizará mantenimientos a la infraestructura o plataformas de tecnología  llegando a tener una afectación contable o a los reportes financieros de Bam?</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</si>
  <si>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</si>
  <si>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CATEGORÍA: Desarrollo o Uso de Modelos</t>
  </si>
  <si>
    <t>¿Posee controles de doble validación de las fórmulas o cálculos que componen los modelos previo a salir a producción?</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</si>
  <si>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 xml:space="preserve">el desarrollador valida que los insumos o variables utilizadas para los cálculos sean los correctos según el resultado que se desea obtener
</t>
    </r>
    <r>
      <rPr>
        <rFont val="Arial"/>
        <b/>
        <color theme="1"/>
        <sz val="11.0"/>
      </rPr>
      <t xml:space="preserve">c) </t>
    </r>
    <r>
      <rPr>
        <rFont val="Arial"/>
        <b val="0"/>
        <color theme="1"/>
        <sz val="11.0"/>
      </rPr>
      <t>existe una segunda persona que valida las variables e insumos utilizados para la elaboración de los cálculos</t>
    </r>
    <r>
      <rPr>
        <rFont val="Arial"/>
        <b/>
        <color theme="1"/>
        <sz val="11.0"/>
      </rPr>
      <t xml:space="preserve">
d) </t>
    </r>
    <r>
      <rPr>
        <rFont val="Arial"/>
        <b val="0"/>
        <color theme="1"/>
        <sz val="11.0"/>
      </rPr>
      <t>existe una segunda persona que valida y ejecuta pruebas de certificación sobre las fórmulas que componen el modelo</t>
    </r>
  </si>
  <si>
    <t>¿Las fuentes de información externa o de mercado que utiliza para ejecutar el modelo se actualizan constantemente?</t>
  </si>
  <si>
    <r>
      <rPr>
        <rFont val="Arial"/>
        <b/>
        <color theme="1"/>
        <sz val="11.0"/>
      </rPr>
      <t xml:space="preserve">a) </t>
    </r>
    <r>
      <rPr>
        <rFont val="Arial"/>
        <b val="0"/>
        <color theme="1"/>
        <sz val="11.0"/>
      </rPr>
      <t>No aplica</t>
    </r>
    <r>
      <rPr>
        <rFont val="Arial"/>
        <b/>
        <color theme="1"/>
        <sz val="11.0"/>
      </rPr>
      <t xml:space="preserve">
b)</t>
    </r>
    <r>
      <rPr>
        <rFont val="Arial"/>
        <b val="0"/>
        <color theme="1"/>
        <sz val="11.0"/>
      </rPr>
      <t xml:space="preserve"> se actualizan al inicio de relación</t>
    </r>
    <r>
      <rPr>
        <rFont val="Arial"/>
        <b/>
        <color theme="1"/>
        <sz val="11.0"/>
      </rPr>
      <t xml:space="preserve">
c) </t>
    </r>
    <r>
      <rPr>
        <rFont val="Arial"/>
        <b val="0"/>
        <color theme="1"/>
        <sz val="11.0"/>
      </rPr>
      <t>se actualizan conforme a la necesidad del cliente, mensualmente o al valor actual del mercado</t>
    </r>
  </si>
  <si>
    <t>¿Existe capacitación continua a empleados que garantice la exactitud y completitud del modelo?</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</si>
  <si>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realizan capacitaciones internas al inicio de la relación con el colaborador</t>
    </r>
    <r>
      <rPr>
        <rFont val="Arial"/>
        <b/>
        <color theme="1"/>
        <sz val="11.0"/>
      </rPr>
      <t xml:space="preserve">
c) </t>
    </r>
    <r>
      <rPr>
        <rFont val="Arial"/>
        <b val="0"/>
        <color theme="1"/>
        <sz val="11.0"/>
      </rPr>
      <t>se realizan capacitaciones internas periodicas o a demanda</t>
    </r>
    <r>
      <rPr>
        <rFont val="Arial"/>
        <b/>
        <color theme="1"/>
        <sz val="11.0"/>
      </rPr>
      <t xml:space="preserve">
d) </t>
    </r>
    <r>
      <rPr>
        <rFont val="Arial"/>
        <b val="0"/>
        <color theme="1"/>
        <sz val="11.0"/>
      </rPr>
      <t>se realizan capacitaciones internas y externas por lo menos 4 veces al año</t>
    </r>
  </si>
  <si>
    <t>¿Le solicita certificaciones específicas a los desarrolladores quienes están a cargo de la implementación del modelo? Si su respuesta es afirmativa, detalle cuales.</t>
  </si>
  <si>
    <r>
      <rPr>
        <rFont val="Arial"/>
        <b/>
        <color theme="1"/>
        <sz val="11.0"/>
      </rPr>
      <t xml:space="preserve">a) </t>
    </r>
    <r>
      <rPr>
        <rFont val="Arial"/>
        <b val="0"/>
        <color theme="1"/>
        <sz val="11.0"/>
      </rPr>
      <t xml:space="preserve">No se tiene
</t>
    </r>
    <r>
      <rPr>
        <rFont val="Arial"/>
        <b/>
        <color theme="1"/>
        <sz val="11.0"/>
      </rPr>
      <t xml:space="preserve">b) </t>
    </r>
    <r>
      <rPr>
        <rFont val="Arial"/>
        <b val="0"/>
        <color theme="1"/>
        <sz val="11.0"/>
      </rPr>
      <t xml:space="preserve">se solicita al inicio de relación con el colaborador estudios acorde al puesto a desempeñar
</t>
    </r>
    <r>
      <rPr>
        <rFont val="Arial"/>
        <b/>
        <color theme="1"/>
        <sz val="11.0"/>
      </rPr>
      <t xml:space="preserve">c) </t>
    </r>
    <r>
      <rPr>
        <rFont val="Arial"/>
        <b val="0"/>
        <color theme="1"/>
        <sz val="11.0"/>
      </rPr>
      <t>se solicitan certificaciones específicas de conocimientos adicionales a los estudios universitarios</t>
    </r>
  </si>
  <si>
    <t>¿Cuál es la periodicidad con la que certifica la funcionalidad de los modelos que proporciona o utiliza para garantizar la integridad de los resultados?</t>
  </si>
  <si>
    <r>
      <rPr>
        <rFont val="Arial"/>
        <b/>
        <color theme="1"/>
        <sz val="11.0"/>
      </rPr>
      <t xml:space="preserve">a) </t>
    </r>
    <r>
      <rPr>
        <rFont val="Arial"/>
        <b val="0"/>
        <color theme="1"/>
        <sz val="11.0"/>
      </rPr>
      <t>se certifica únicamente al inicio de la relación con el cliente</t>
    </r>
    <r>
      <rPr>
        <rFont val="Arial"/>
        <b/>
        <color theme="1"/>
        <sz val="11.0"/>
      </rPr>
      <t xml:space="preserve">
b) </t>
    </r>
    <r>
      <rPr>
        <rFont val="Arial"/>
        <b val="0"/>
        <color theme="1"/>
        <sz val="11.0"/>
      </rPr>
      <t>se certifica a demanda del cliente, de manera anual o según vigencia</t>
    </r>
  </si>
  <si>
    <t>CATEGORÍA: Desarrollo y soporte de Software</t>
  </si>
  <si>
    <t>¿El proveedor  tiene, o está en proceso de obtener una certificación en algún  estándar de seguridad de la información, como la ISO 27001, ISO 27017 (nube), SOC2, NIST  o ante un ente regulador? En caso afirmativo detalle cuales.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</si>
  <si>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</si>
  <si>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Estamos certificados en ISO/IEC 27001:2022, lo cual demuestra nuestro firme compromiso con la seguridad de la información. Nuestra certificación, válida hasta 2028-07-11, abarca la implementación, hosting y soporte de nuestras soluciones en la nube para el sector financiero. Adjunto: Certificados 27001_2025.pdf
</t>
  </si>
  <si>
    <t>¿Cuenta con ambientes de desarrollo seguro, pruebas y producción de los sistemas de información o aplicaciones?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</si>
  <si>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</si>
  <si>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En INTIZA cumplimos con la estricta separación de ambientes de Desarrollo, Pruebas y Producción para todos nuestros sistemas y aplicaciones. Integramos la seguridad desde el inicio del ciclo de vida del software, aplicando prácticas de desarrollo seguro y controles previos a la puesta en producción. Adicionalmente, los datos de prueba se protegen rigurosamente utilizando información ficticia o anonimizada, garantizando la seguridad de su información. Adjunto: NO-SI-09 - Gestión de ambientes_2024-07-10_v1.2.pdf
</t>
  </si>
  <si>
    <t>¿Los ambientes no productivos se encuentran separados, lógica o físicamente, del ambiente productivo para reducir los riesgos de acceso o cambios no autorizados en producción?</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</si>
  <si>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</si>
  <si>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Nuestra plataforma cumple con la separación de ambientes no productivos del ambiente productivo, tanto lógica como físicamente. Esto se logra a través de ambientes diferenciados, controles de acceso y segregación de directorios o librerías, según lo establece nuestra Norma de Gestión de Ambientes. Adjunto: NO-SI-09 - Gestión de ambientes_2024-07-10_v1.2.pdf</t>
  </si>
  <si>
    <t>¿Realiza pruebas de seguridad (Ethical Hacking) sobre los sistemas de información antes de pasar a producción?</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</si>
  <si>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</si>
  <si>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Realizamos pruebas de seguridad exhaustivas, incluyendo Ethical Hacking y pruebas de vulnerabilidad en nuestras aplicaciones. Integramos la seguridad desde el inicio del ciclo de desarrollo, realizando pruebas dinámicas, análisis estáticos de código y revisiones humanas antes de pasar a producción. </t>
  </si>
  <si>
    <t>¿Tiene un esquema de control definido para el acceso al código fuente en los diferentes ambientes?</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</si>
  <si>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</si>
  <si>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 xml:space="preserve">Uutilizamos software de control de código fuente para proteger nuestros activos, </t>
  </si>
  <si>
    <t>¿El proveedor cumplirá funciones de fábrica de Desarrollo de Software, incluyendo certificación y producción y/o tendrá acceso al código fuente de las aplicaciones y bases de datos que respalden procesos criticos para la operación de Bam?</t>
  </si>
  <si>
    <r>
      <rPr>
        <rFont val="Arial"/>
        <b/>
        <color theme="1"/>
        <sz val="11.0"/>
      </rPr>
      <t xml:space="preserve">a) </t>
    </r>
    <r>
      <rPr>
        <rFont val="Arial"/>
        <b val="0"/>
        <color theme="1"/>
        <sz val="11.0"/>
      </rPr>
      <t>Si</t>
    </r>
    <r>
      <rPr>
        <rFont val="Arial"/>
        <b/>
        <color theme="1"/>
        <sz val="11.0"/>
      </rPr>
      <t xml:space="preserve">
b) </t>
    </r>
    <r>
      <rPr>
        <rFont val="Arial"/>
        <b val="0"/>
        <color theme="1"/>
        <sz val="11.0"/>
      </rPr>
      <t>No</t>
    </r>
  </si>
  <si>
    <t>¿Posee controles de doble validación de los cambios o modificaciones realizados a los aplicativos de Bam previo a salir a producción?</t>
  </si>
  <si>
    <r>
      <rPr>
        <rFont val="Arial"/>
        <b/>
        <color theme="1"/>
        <sz val="11.0"/>
      </rPr>
      <t xml:space="preserve">a) </t>
    </r>
    <r>
      <rPr>
        <rFont val="Arial"/>
        <b val="0"/>
        <color theme="1"/>
        <sz val="11.0"/>
      </rPr>
      <t>No tiene</t>
    </r>
    <r>
      <rPr>
        <rFont val="Arial"/>
        <b/>
        <color theme="1"/>
        <sz val="11.0"/>
      </rPr>
      <t xml:space="preserve">
b) </t>
    </r>
    <r>
      <rPr>
        <rFont val="Arial"/>
        <b val="0"/>
        <color theme="1"/>
        <sz val="11.0"/>
      </rPr>
      <t xml:space="preserve">El desarrollador quien realiza los cambios es el responsable de validar su funcionamiento
</t>
    </r>
    <r>
      <rPr>
        <rFont val="Arial"/>
        <b/>
        <color theme="1"/>
        <sz val="11.0"/>
      </rPr>
      <t xml:space="preserve">c) </t>
    </r>
    <r>
      <rPr>
        <rFont val="Arial"/>
        <b val="0"/>
        <color theme="1"/>
        <sz val="11.0"/>
      </rPr>
      <t xml:space="preserve">Existe una segunda persona quien valida que los cambios se apliquen correctamente en el código
</t>
    </r>
    <r>
      <rPr>
        <rFont val="Arial"/>
        <b/>
        <color theme="1"/>
        <sz val="11.0"/>
      </rPr>
      <t xml:space="preserve">d) </t>
    </r>
    <r>
      <rPr>
        <rFont val="Arial"/>
        <b val="0"/>
        <color theme="1"/>
        <sz val="11.0"/>
      </rPr>
      <t>Existe una segunda persona quien valida y ejecuta pruebas de certificación sobre los cambios realizados</t>
    </r>
  </si>
  <si>
    <t>Esto solo aplica a cambios en el aplicativo de Intiza. No realizamos cambios o modificaciones en aplicativos o sistemas de Bam.</t>
  </si>
  <si>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 xml:space="preserve">se realizan capacitaciones internas al inicio de la relación con el colaborador
</t>
    </r>
    <r>
      <rPr>
        <rFont val="Arial"/>
        <b/>
        <color theme="1"/>
        <sz val="11.0"/>
      </rPr>
      <t xml:space="preserve">c) </t>
    </r>
    <r>
      <rPr>
        <rFont val="Arial"/>
        <b val="0"/>
        <color theme="1"/>
        <sz val="11.0"/>
      </rPr>
      <t xml:space="preserve">se realizan capacitaciones internas periodicas o a demanda
</t>
    </r>
    <r>
      <rPr>
        <rFont val="Arial"/>
        <b/>
        <color theme="1"/>
        <sz val="11.0"/>
      </rPr>
      <t xml:space="preserve">d) </t>
    </r>
    <r>
      <rPr>
        <rFont val="Arial"/>
        <b val="0"/>
        <color theme="1"/>
        <sz val="11.0"/>
      </rPr>
      <t>se realizan capacitaciones internas y externas por lo menos 4 veces al año</t>
    </r>
  </si>
  <si>
    <r>
      <rPr>
        <rFont val="Arial"/>
        <b/>
        <color theme="1"/>
        <sz val="11.0"/>
      </rPr>
      <t xml:space="preserve">a) </t>
    </r>
    <r>
      <rPr>
        <rFont val="Arial"/>
        <b val="0"/>
        <color theme="1"/>
        <sz val="11.0"/>
      </rPr>
      <t>No se tiene</t>
    </r>
    <r>
      <rPr>
        <rFont val="Arial"/>
        <b/>
        <color theme="1"/>
        <sz val="11.0"/>
      </rPr>
      <t xml:space="preserve">
b) </t>
    </r>
    <r>
      <rPr>
        <rFont val="Arial"/>
        <b val="0"/>
        <color theme="1"/>
        <sz val="11.0"/>
      </rPr>
      <t>se solicita al inicio de relación con el colaborador estudios acorde al puesto a desempeñar</t>
    </r>
    <r>
      <rPr>
        <rFont val="Arial"/>
        <b/>
        <color theme="1"/>
        <sz val="11.0"/>
      </rPr>
      <t xml:space="preserve">
c)</t>
    </r>
    <r>
      <rPr>
        <rFont val="Arial"/>
        <b val="0"/>
        <color theme="1"/>
        <sz val="11.0"/>
      </rPr>
      <t xml:space="preserve"> se solicitan certificaciones específicas de conocimientos adicionales a los estudios universitarios</t>
    </r>
  </si>
  <si>
    <t>RESUMEN CALIFICACIÓN</t>
  </si>
  <si>
    <t>Categoría</t>
  </si>
  <si>
    <t>Punteo por categoría</t>
  </si>
  <si>
    <t>Punteo total</t>
  </si>
  <si>
    <t>Puntuación proveedores</t>
  </si>
  <si>
    <t>DETALLE PUNTEO PROVEEDOR</t>
  </si>
  <si>
    <t>PUNTEO TOTAL</t>
  </si>
  <si>
    <t>PUNTEO OBTENIDO</t>
  </si>
  <si>
    <t>¿Cuenta con sistemas de protección para las aplicaciones alojadas o expuestas en la nube?. Ej.: ( Web Aplicación Firewall – WAF)  ¿cuáles?</t>
  </si>
  <si>
    <t>CATEGORÍA: Arrendamientos Bienes Inmuebles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</si>
</sst>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18">
    <font>
      <sz val="11.0"/>
      <color theme="1"/>
      <name val="Aptos Narrow"/>
      <scheme val="minor"/>
    </font>
    <font>
      <b/>
      <sz val="14.0"/>
      <color rgb="FFFFFFFF"/>
      <name val="Arial"/>
    </font>
    <font/>
    <font>
      <sz val="11.0"/>
      <color theme="1"/>
      <name val="Aptos Narrow"/>
    </font>
    <font>
      <b/>
      <sz val="11.0"/>
      <color theme="0"/>
      <name val="Aptos Narrow"/>
    </font>
    <font>
      <b/>
      <sz val="11.0"/>
      <color theme="1"/>
      <name val="Aptos Narrow"/>
    </font>
    <font>
      <b/>
      <sz val="18.0"/>
      <color rgb="FFFFFFFF"/>
      <name val="Arial"/>
    </font>
    <font>
      <b/>
      <sz val="11.0"/>
      <color theme="1"/>
      <name val="Arial"/>
    </font>
    <font>
      <b/>
      <sz val="11.0"/>
      <color theme="0"/>
      <name val="Arial"/>
    </font>
    <font>
      <sz val="11.0"/>
      <color theme="1"/>
      <name val="Arial"/>
    </font>
    <font>
      <u/>
      <sz val="11.0"/>
      <color theme="1"/>
      <name val="Arial"/>
    </font>
    <font>
      <sz val="11.0"/>
      <color rgb="FFFF0000"/>
      <name val="Aptos Narrow"/>
    </font>
    <font>
      <sz val="11.0"/>
      <color rgb="FFFF0000"/>
      <name val="Arial"/>
    </font>
    <font>
      <b/>
      <sz val="16.0"/>
      <color rgb="FFFFFFFF"/>
      <name val="Arial"/>
    </font>
    <font>
      <sz val="16.0"/>
      <color rgb="FFFFFFFF"/>
      <name val="Arial"/>
    </font>
    <font>
      <b/>
      <sz val="12.0"/>
      <color theme="1"/>
      <name val="Arial"/>
    </font>
    <font>
      <b/>
      <sz val="10.0"/>
      <color theme="1"/>
      <name val="Arial"/>
    </font>
    <font>
      <sz val="10.0"/>
      <color theme="1"/>
      <name val="Arial"/>
    </font>
  </fonts>
  <fills count="10">
    <fill>
      <patternFill patternType="none"/>
    </fill>
    <fill>
      <patternFill patternType="lightGray"/>
    </fill>
    <fill>
      <patternFill patternType="solid">
        <fgColor rgb="FF2C2A29"/>
        <bgColor rgb="FF2C2A29"/>
      </patternFill>
    </fill>
    <fill>
      <patternFill patternType="solid">
        <fgColor rgb="FFD8D8D8"/>
        <bgColor rgb="FFD8D8D8"/>
      </patternFill>
    </fill>
    <fill>
      <patternFill patternType="solid">
        <fgColor theme="1"/>
        <bgColor theme="1"/>
      </patternFill>
    </fill>
    <fill>
      <patternFill patternType="solid">
        <fgColor theme="0"/>
        <bgColor theme="0"/>
      </patternFill>
    </fill>
    <fill>
      <patternFill patternType="solid">
        <fgColor rgb="FF00CCEA"/>
        <bgColor rgb="FF00CCEA"/>
      </patternFill>
    </fill>
    <fill>
      <patternFill patternType="solid">
        <fgColor rgb="FFF1CEEE"/>
        <bgColor rgb="FFF1CEEE"/>
      </patternFill>
    </fill>
    <fill>
      <patternFill patternType="solid">
        <fgColor rgb="FFFFFFFF"/>
        <bgColor rgb="FFFFFFFF"/>
      </patternFill>
    </fill>
    <fill>
      <patternFill patternType="solid">
        <fgColor rgb="FFBFBFBF"/>
        <bgColor rgb="FFBFBFBF"/>
      </patternFill>
    </fill>
  </fills>
  <borders count="26">
    <border/>
    <border>
      <left/>
      <top/>
      <bottom/>
    </border>
    <border>
      <top/>
      <bottom/>
    </border>
    <border>
      <right/>
      <top/>
      <bottom/>
    </border>
    <border>
      <left/>
      <right/>
      <top/>
      <bottom/>
    </border>
    <border>
      <left style="thin">
        <color rgb="FF7F7F7F"/>
      </left>
      <top style="thin">
        <color rgb="FF7F7F7F"/>
      </top>
    </border>
    <border>
      <top style="thin">
        <color rgb="FF7F7F7F"/>
      </top>
    </border>
    <border>
      <right style="thin">
        <color rgb="FF7F7F7F"/>
      </right>
      <top style="thin">
        <color rgb="FF7F7F7F"/>
      </top>
    </border>
    <border>
      <left style="thin">
        <color rgb="FF7F7F7F"/>
      </left>
    </border>
    <border>
      <right style="thin">
        <color rgb="FF7F7F7F"/>
      </right>
    </border>
    <border>
      <left style="thin">
        <color rgb="FF7F7F7F"/>
      </left>
      <bottom style="thin">
        <color rgb="FF7F7F7F"/>
      </bottom>
    </border>
    <border>
      <bottom style="thin">
        <color rgb="FF7F7F7F"/>
      </bottom>
    </border>
    <border>
      <right style="thin">
        <color rgb="FF7F7F7F"/>
      </right>
      <bottom style="thin">
        <color rgb="FF7F7F7F"/>
      </bottom>
    </border>
    <border>
      <left style="thin">
        <color rgb="FF7F7F7F"/>
      </left>
      <top style="thin">
        <color rgb="FF7F7F7F"/>
      </top>
      <bottom style="thin">
        <color rgb="FF7F7F7F"/>
      </bottom>
    </border>
    <border>
      <top style="thin">
        <color rgb="FF7F7F7F"/>
      </top>
      <bottom style="thin">
        <color rgb="FF7F7F7F"/>
      </bottom>
    </border>
    <border>
      <right style="thin">
        <color rgb="FF7F7F7F"/>
      </right>
      <top style="thin">
        <color rgb="FF7F7F7F"/>
      </top>
      <bottom style="thin">
        <color rgb="FF7F7F7F"/>
      </bottom>
    </border>
    <border>
      <left style="thin">
        <color rgb="FF7F7F7F"/>
      </left>
      <right style="thin">
        <color rgb="FF7F7F7F"/>
      </right>
      <top style="thin">
        <color rgb="FF7F7F7F"/>
      </top>
      <bottom style="thin">
        <color rgb="FF7F7F7F"/>
      </bottom>
    </border>
    <border>
      <right/>
      <top style="thin">
        <color rgb="FF7F7F7F"/>
      </top>
      <bottom style="thin">
        <color rgb="FF7F7F7F"/>
      </bottom>
    </border>
    <border>
      <left/>
      <right/>
      <top style="thin">
        <color rgb="FF7F7F7F"/>
      </top>
      <bottom style="thin">
        <color rgb="FF7F7F7F"/>
      </bottom>
    </border>
    <border>
      <left/>
      <right style="thin">
        <color rgb="FF7F7F7F"/>
      </right>
      <top style="thin">
        <color rgb="FF7F7F7F"/>
      </top>
      <bottom style="thin">
        <color rgb="FF7F7F7F"/>
      </bottom>
    </border>
    <border>
      <left style="thin">
        <color rgb="FFA5A5A5"/>
      </left>
      <right style="thin">
        <color rgb="FFA5A5A5"/>
      </right>
      <top style="thin">
        <color rgb="FFA5A5A5"/>
      </top>
      <bottom style="thin">
        <color rgb="FFA5A5A5"/>
      </bottom>
    </border>
    <border>
      <left style="thin">
        <color rgb="FFA5A5A5"/>
      </left>
      <right style="thin">
        <color rgb="FFA5A5A5"/>
      </right>
      <bottom style="thin">
        <color rgb="FFA5A5A5"/>
      </bottom>
    </border>
    <border>
      <left style="thin">
        <color rgb="FFA5A5A5"/>
      </left>
    </border>
    <border>
      <left style="medium">
        <color rgb="FF000000"/>
      </left>
      <right style="medium">
        <color rgb="FF000000"/>
      </right>
      <top style="medium">
        <color rgb="FF000000"/>
      </top>
      <bottom style="medium">
        <color rgb="FF000000"/>
      </bottom>
    </border>
    <border>
      <left style="thin">
        <color rgb="FF7F7F7F"/>
      </left>
      <right/>
      <top style="thin">
        <color rgb="FF7F7F7F"/>
      </top>
      <bottom style="thin">
        <color rgb="FF7F7F7F"/>
      </bottom>
    </border>
    <border>
      <left style="thin">
        <color rgb="FF7F7F7F"/>
      </left>
      <right style="thin">
        <color rgb="FF7F7F7F"/>
      </right>
      <top/>
      <bottom style="thin">
        <color rgb="FF7F7F7F"/>
      </bottom>
    </border>
  </borders>
  <cellStyleXfs count="1">
    <xf borderId="0" fillId="0" fontId="0" numFmtId="0" applyAlignment="1" applyFont="1"/>
  </cellStyleXfs>
  <cellXfs count="89">
    <xf borderId="0" fillId="0" fontId="0" numFmtId="0" xfId="0" applyAlignment="1" applyFont="1">
      <alignment readingOrder="0" shrinkToFit="0" vertical="bottom" wrapText="0"/>
    </xf>
    <xf borderId="1" fillId="2" fontId="1" numFmtId="0" xfId="0" applyAlignment="1" applyBorder="1" applyFill="1" applyFont="1">
      <alignment horizontal="left" vertical="center"/>
    </xf>
    <xf borderId="2" fillId="0" fontId="2" numFmtId="0" xfId="0" applyBorder="1" applyFont="1"/>
    <xf borderId="3" fillId="0" fontId="2" numFmtId="0" xfId="0" applyBorder="1" applyFont="1"/>
    <xf borderId="4" fillId="3" fontId="3" numFmtId="0" xfId="0" applyBorder="1" applyFill="1" applyFont="1"/>
    <xf borderId="0" fillId="0" fontId="3" numFmtId="0" xfId="0" applyAlignment="1" applyFont="1">
      <alignment horizontal="left"/>
    </xf>
    <xf borderId="0" fillId="0" fontId="3" numFmtId="0" xfId="0" applyFont="1"/>
    <xf borderId="1" fillId="4" fontId="4" numFmtId="0" xfId="0" applyAlignment="1" applyBorder="1" applyFill="1" applyFont="1">
      <alignment horizontal="center"/>
    </xf>
    <xf borderId="0" fillId="0" fontId="5" numFmtId="0" xfId="0" applyFont="1"/>
    <xf borderId="0" fillId="0" fontId="3" numFmtId="0" xfId="0" applyAlignment="1" applyFont="1">
      <alignment shrinkToFit="0" wrapText="1"/>
    </xf>
    <xf borderId="0" fillId="0" fontId="3" numFmtId="0" xfId="0" applyAlignment="1" applyFont="1">
      <alignment horizontal="center" vertical="center"/>
    </xf>
    <xf borderId="1" fillId="2" fontId="6" numFmtId="0" xfId="0" applyAlignment="1" applyBorder="1" applyFont="1">
      <alignment horizontal="left" vertical="center"/>
    </xf>
    <xf borderId="5" fillId="0" fontId="7" numFmtId="0" xfId="0" applyAlignment="1" applyBorder="1" applyFont="1">
      <alignment horizontal="left" shrinkToFit="0" vertical="top" wrapText="1"/>
    </xf>
    <xf borderId="6" fillId="0" fontId="2" numFmtId="0" xfId="0" applyBorder="1" applyFont="1"/>
    <xf borderId="7" fillId="0" fontId="2" numFmtId="0" xfId="0" applyBorder="1" applyFont="1"/>
    <xf borderId="8" fillId="0" fontId="2" numFmtId="0" xfId="0" applyBorder="1" applyFont="1"/>
    <xf borderId="9" fillId="0" fontId="2" numFmtId="0" xfId="0" applyBorder="1" applyFont="1"/>
    <xf borderId="10" fillId="0" fontId="2" numFmtId="0" xfId="0" applyBorder="1" applyFont="1"/>
    <xf borderId="11" fillId="0" fontId="2" numFmtId="0" xfId="0" applyBorder="1" applyFont="1"/>
    <xf borderId="12" fillId="0" fontId="2" numFmtId="0" xfId="0" applyBorder="1" applyFont="1"/>
    <xf borderId="13" fillId="2" fontId="8" numFmtId="0" xfId="0" applyAlignment="1" applyBorder="1" applyFont="1">
      <alignment horizontal="center" vertical="center"/>
    </xf>
    <xf borderId="14" fillId="0" fontId="2" numFmtId="0" xfId="0" applyBorder="1" applyFont="1"/>
    <xf borderId="15" fillId="0" fontId="2" numFmtId="0" xfId="0" applyBorder="1" applyFont="1"/>
    <xf borderId="13" fillId="3" fontId="7" numFmtId="0" xfId="0" applyAlignment="1" applyBorder="1" applyFont="1">
      <alignment horizontal="left" vertical="center"/>
    </xf>
    <xf borderId="13" fillId="5" fontId="9" numFmtId="0" xfId="0" applyAlignment="1" applyBorder="1" applyFill="1" applyFont="1">
      <alignment horizontal="center" shrinkToFit="0" vertical="top" wrapText="1"/>
    </xf>
    <xf quotePrefix="1" borderId="13" fillId="5" fontId="9" numFmtId="0" xfId="0" applyAlignment="1" applyBorder="1" applyFont="1">
      <alignment horizontal="center" shrinkToFit="0" vertical="top" wrapText="1"/>
    </xf>
    <xf borderId="13" fillId="3" fontId="7" numFmtId="0" xfId="0" applyAlignment="1" applyBorder="1" applyFont="1">
      <alignment horizontal="left" shrinkToFit="0" vertical="center" wrapText="1"/>
    </xf>
    <xf borderId="13" fillId="5" fontId="10" numFmtId="0" xfId="0" applyAlignment="1" applyBorder="1" applyFont="1">
      <alignment horizontal="center" shrinkToFit="0" vertical="top" wrapText="1"/>
    </xf>
    <xf borderId="13" fillId="5" fontId="9" numFmtId="164" xfId="0" applyAlignment="1" applyBorder="1" applyFont="1" applyNumberFormat="1">
      <alignment horizontal="center" shrinkToFit="0" vertical="top" wrapText="1"/>
    </xf>
    <xf borderId="16" fillId="6" fontId="8" numFmtId="0" xfId="0" applyAlignment="1" applyBorder="1" applyFill="1" applyFont="1">
      <alignment horizontal="center" vertical="center"/>
    </xf>
    <xf borderId="16" fillId="6" fontId="8" numFmtId="0" xfId="0" applyAlignment="1" applyBorder="1" applyFont="1">
      <alignment horizontal="center" shrinkToFit="0" vertical="center" wrapText="1"/>
    </xf>
    <xf borderId="13" fillId="7" fontId="7" numFmtId="0" xfId="0" applyAlignment="1" applyBorder="1" applyFill="1" applyFont="1">
      <alignment horizontal="left" shrinkToFit="0" vertical="center" wrapText="1"/>
    </xf>
    <xf borderId="17" fillId="0" fontId="2" numFmtId="0" xfId="0" applyBorder="1" applyFont="1"/>
    <xf borderId="18" fillId="7" fontId="7" numFmtId="0" xfId="0" applyAlignment="1" applyBorder="1" applyFont="1">
      <alignment vertical="center"/>
    </xf>
    <xf borderId="18" fillId="7" fontId="7" numFmtId="0" xfId="0" applyAlignment="1" applyBorder="1" applyFont="1">
      <alignment shrinkToFit="0" vertical="center" wrapText="1"/>
    </xf>
    <xf borderId="19" fillId="7" fontId="7" numFmtId="0" xfId="0" applyAlignment="1" applyBorder="1" applyFont="1">
      <alignment shrinkToFit="0" vertical="center" wrapText="1"/>
    </xf>
    <xf borderId="16" fillId="0" fontId="7" numFmtId="0" xfId="0" applyAlignment="1" applyBorder="1" applyFont="1">
      <alignment horizontal="left" vertical="center"/>
    </xf>
    <xf borderId="16" fillId="0" fontId="9" numFmtId="0" xfId="0" applyAlignment="1" applyBorder="1" applyFont="1">
      <alignment horizontal="left" shrinkToFit="0" vertical="center" wrapText="1"/>
    </xf>
    <xf borderId="16" fillId="0" fontId="9" numFmtId="0" xfId="0" applyAlignment="1" applyBorder="1" applyFont="1">
      <alignment horizontal="left" vertical="center"/>
    </xf>
    <xf borderId="16" fillId="0" fontId="9" numFmtId="0" xfId="0" applyAlignment="1" applyBorder="1" applyFont="1">
      <alignment horizontal="center" readingOrder="0" vertical="center"/>
    </xf>
    <xf borderId="16" fillId="0" fontId="9" numFmtId="0" xfId="0" applyAlignment="1" applyBorder="1" applyFont="1">
      <alignment horizontal="left" readingOrder="0" shrinkToFit="0" wrapText="1"/>
    </xf>
    <xf borderId="16" fillId="8" fontId="9" numFmtId="0" xfId="0" applyAlignment="1" applyBorder="1" applyFill="1" applyFont="1">
      <alignment horizontal="center" readingOrder="0" vertical="center"/>
    </xf>
    <xf borderId="16" fillId="0" fontId="9" numFmtId="0" xfId="0" applyAlignment="1" applyBorder="1" applyFont="1">
      <alignment horizontal="center" vertical="center"/>
    </xf>
    <xf borderId="16" fillId="0" fontId="7" numFmtId="0" xfId="0" applyAlignment="1" applyBorder="1" applyFont="1">
      <alignment horizontal="left"/>
    </xf>
    <xf borderId="16" fillId="0" fontId="9" numFmtId="0" xfId="0" applyAlignment="1" applyBorder="1" applyFont="1">
      <alignment horizontal="left" shrinkToFit="0" wrapText="1"/>
    </xf>
    <xf borderId="16" fillId="0" fontId="9" numFmtId="0" xfId="0" applyAlignment="1" applyBorder="1" applyFont="1">
      <alignment horizontal="left" readingOrder="0"/>
    </xf>
    <xf borderId="16" fillId="0" fontId="9" numFmtId="0" xfId="0" applyAlignment="1" applyBorder="1" applyFont="1">
      <alignment horizontal="left"/>
    </xf>
    <xf borderId="0" fillId="0" fontId="11" numFmtId="0" xfId="0" applyFont="1"/>
    <xf borderId="16" fillId="0" fontId="12" numFmtId="0" xfId="0" applyAlignment="1" applyBorder="1" applyFont="1">
      <alignment horizontal="center" vertical="center"/>
    </xf>
    <xf borderId="16" fillId="0" fontId="12" numFmtId="0" xfId="0" applyAlignment="1" applyBorder="1" applyFont="1">
      <alignment horizontal="left"/>
    </xf>
    <xf borderId="15" fillId="0" fontId="9" numFmtId="0" xfId="0" applyAlignment="1" applyBorder="1" applyFont="1">
      <alignment horizontal="left"/>
    </xf>
    <xf borderId="16" fillId="0" fontId="9" numFmtId="0" xfId="0" applyAlignment="1" applyBorder="1" applyFont="1">
      <alignment horizontal="left" readingOrder="0" shrinkToFit="0" vertical="center" wrapText="1"/>
    </xf>
    <xf borderId="4" fillId="2" fontId="13" numFmtId="0" xfId="0" applyAlignment="1" applyBorder="1" applyFont="1">
      <alignment vertical="center"/>
    </xf>
    <xf borderId="0" fillId="0" fontId="9" numFmtId="0" xfId="0" applyAlignment="1" applyFont="1">
      <alignment horizontal="center" vertical="center"/>
    </xf>
    <xf borderId="0" fillId="0" fontId="3" numFmtId="1" xfId="0" applyAlignment="1" applyFont="1" applyNumberFormat="1">
      <alignment horizontal="center" vertical="center"/>
    </xf>
    <xf borderId="0" fillId="0" fontId="13" numFmtId="0" xfId="0" applyAlignment="1" applyFont="1">
      <alignment horizontal="left" vertical="center"/>
    </xf>
    <xf borderId="0" fillId="0" fontId="14" numFmtId="0" xfId="0" applyAlignment="1" applyFont="1">
      <alignment horizontal="center" vertical="center"/>
    </xf>
    <xf borderId="0" fillId="0" fontId="7" numFmtId="0" xfId="0" applyAlignment="1" applyFont="1">
      <alignment horizontal="center"/>
    </xf>
    <xf borderId="20" fillId="6" fontId="15" numFmtId="0" xfId="0" applyAlignment="1" applyBorder="1" applyFont="1">
      <alignment horizontal="center"/>
    </xf>
    <xf borderId="0" fillId="0" fontId="9" numFmtId="0" xfId="0" applyAlignment="1" applyFont="1">
      <alignment horizontal="center"/>
    </xf>
    <xf borderId="21" fillId="0" fontId="9" numFmtId="0" xfId="0" applyBorder="1" applyFont="1"/>
    <xf borderId="21" fillId="0" fontId="9" numFmtId="0" xfId="0" applyAlignment="1" applyBorder="1" applyFont="1">
      <alignment horizontal="center"/>
    </xf>
    <xf borderId="22" fillId="0" fontId="12" numFmtId="0" xfId="0" applyAlignment="1" applyBorder="1" applyFont="1">
      <alignment horizontal="left" vertical="center"/>
    </xf>
    <xf borderId="20" fillId="0" fontId="9" numFmtId="0" xfId="0" applyBorder="1" applyFont="1"/>
    <xf borderId="20" fillId="0" fontId="9" numFmtId="0" xfId="0" applyAlignment="1" applyBorder="1" applyFont="1">
      <alignment horizontal="center"/>
    </xf>
    <xf borderId="0" fillId="0" fontId="7" numFmtId="0" xfId="0" applyAlignment="1" applyFont="1">
      <alignment horizontal="right"/>
    </xf>
    <xf borderId="0" fillId="0" fontId="7" numFmtId="0" xfId="0" applyAlignment="1" applyFont="1">
      <alignment horizontal="right" vertical="center"/>
    </xf>
    <xf borderId="23" fillId="0" fontId="7" numFmtId="0" xfId="0" applyAlignment="1" applyBorder="1" applyFont="1">
      <alignment horizontal="center" shrinkToFit="0" vertical="center" wrapText="1"/>
    </xf>
    <xf borderId="0" fillId="0" fontId="9" numFmtId="0" xfId="0" applyFont="1"/>
    <xf borderId="1" fillId="2" fontId="13" numFmtId="0" xfId="0" applyAlignment="1" applyBorder="1" applyFont="1">
      <alignment horizontal="left" vertical="center"/>
    </xf>
    <xf borderId="24" fillId="6" fontId="8" numFmtId="0" xfId="0" applyAlignment="1" applyBorder="1" applyFont="1">
      <alignment horizontal="center" shrinkToFit="0" vertical="center" wrapText="1"/>
    </xf>
    <xf borderId="13" fillId="7" fontId="16" numFmtId="0" xfId="0" applyAlignment="1" applyBorder="1" applyFont="1">
      <alignment horizontal="left" shrinkToFit="0" vertical="center" wrapText="1"/>
    </xf>
    <xf borderId="18" fillId="7" fontId="16" numFmtId="0" xfId="0" applyAlignment="1" applyBorder="1" applyFont="1">
      <alignment shrinkToFit="0" vertical="center" wrapText="1"/>
    </xf>
    <xf borderId="16" fillId="7" fontId="16" numFmtId="0" xfId="0" applyAlignment="1" applyBorder="1" applyFont="1">
      <alignment horizontal="center" shrinkToFit="0" vertical="center" wrapText="1"/>
    </xf>
    <xf borderId="16" fillId="0" fontId="7" numFmtId="0" xfId="0" applyAlignment="1" applyBorder="1" applyFont="1">
      <alignment horizontal="center" vertical="center"/>
    </xf>
    <xf borderId="16" fillId="0" fontId="17" numFmtId="0" xfId="0" applyAlignment="1" applyBorder="1" applyFont="1">
      <alignment horizontal="left" shrinkToFit="0" vertical="center" wrapText="1"/>
    </xf>
    <xf borderId="13" fillId="0" fontId="9" numFmtId="0" xfId="0" applyAlignment="1" applyBorder="1" applyFont="1">
      <alignment horizontal="center"/>
    </xf>
    <xf borderId="16" fillId="0" fontId="9" numFmtId="0" xfId="0" applyAlignment="1" applyBorder="1" applyFont="1">
      <alignment horizontal="center"/>
    </xf>
    <xf borderId="16" fillId="0" fontId="9" numFmtId="0" xfId="0" applyAlignment="1" applyBorder="1" applyFont="1">
      <alignment shrinkToFit="0" vertical="center" wrapText="1"/>
    </xf>
    <xf borderId="4" fillId="9" fontId="3" numFmtId="1" xfId="0" applyAlignment="1" applyBorder="1" applyFill="1" applyFont="1" applyNumberFormat="1">
      <alignment horizontal="center" vertical="center"/>
    </xf>
    <xf borderId="16" fillId="0" fontId="7" numFmtId="0" xfId="0" applyAlignment="1" applyBorder="1" applyFont="1">
      <alignment horizontal="center"/>
    </xf>
    <xf borderId="16" fillId="0" fontId="9" numFmtId="0" xfId="0" applyAlignment="1" applyBorder="1" applyFont="1">
      <alignment shrinkToFit="0" wrapText="1"/>
    </xf>
    <xf borderId="19" fillId="7" fontId="16" numFmtId="0" xfId="0" applyAlignment="1" applyBorder="1" applyFont="1">
      <alignment shrinkToFit="0" vertical="center" wrapText="1"/>
    </xf>
    <xf borderId="25" fillId="7" fontId="17" numFmtId="0" xfId="0" applyAlignment="1" applyBorder="1" applyFont="1">
      <alignment horizontal="center" shrinkToFit="0" vertical="center" wrapText="1"/>
    </xf>
    <xf borderId="15" fillId="0" fontId="9" numFmtId="0" xfId="0" applyAlignment="1" applyBorder="1" applyFont="1">
      <alignment horizontal="center"/>
    </xf>
    <xf borderId="16" fillId="7" fontId="17" numFmtId="0" xfId="0" applyAlignment="1" applyBorder="1" applyFont="1">
      <alignment horizontal="center" shrinkToFit="0" vertical="center" wrapText="1"/>
    </xf>
    <xf borderId="13" fillId="0" fontId="7" numFmtId="0" xfId="0" applyAlignment="1" applyBorder="1" applyFont="1">
      <alignment horizontal="center" vertical="center"/>
    </xf>
    <xf borderId="14" fillId="0" fontId="17" numFmtId="0" xfId="0" applyAlignment="1" applyBorder="1" applyFont="1">
      <alignment horizontal="left" shrinkToFit="0" vertical="center" wrapText="1"/>
    </xf>
    <xf borderId="0" fillId="0" fontId="5" numFmtId="0" xfId="0" applyAlignment="1" applyFont="1">
      <alignment horizontal="center"/>
    </xf>
  </cellXfs>
  <cellStyles count="1">
    <cellStyle xfId="0" name="Normal" builtinId="0"/>
  </cellStyles>
  <dxfs count="5">
    <dxf>
      <font>
        <color rgb="FF006100"/>
      </font>
      <fill>
        <patternFill patternType="solid">
          <fgColor rgb="FFC6EFCE"/>
          <bgColor rgb="FFC6EFCE"/>
        </patternFill>
      </fill>
      <border/>
    </dxf>
    <dxf>
      <font>
        <color rgb="FF9C5700"/>
      </font>
      <fill>
        <patternFill patternType="solid">
          <fgColor rgb="FFFFEB9C"/>
          <bgColor rgb="FFFFEB9C"/>
        </patternFill>
      </fill>
      <border/>
    </dxf>
    <dxf>
      <font>
        <color rgb="FF9C0006"/>
      </font>
      <fill>
        <patternFill patternType="solid">
          <fgColor rgb="FFFFC7CE"/>
          <bgColor rgb="FFFFC7CE"/>
        </patternFill>
      </fill>
      <border/>
    </dxf>
    <dxf>
      <font>
        <color theme="0"/>
      </font>
      <fill>
        <patternFill patternType="solid">
          <fgColor theme="0"/>
          <bgColor theme="0"/>
        </patternFill>
      </fill>
      <border/>
    </dxf>
    <dxf>
      <font/>
      <fill>
        <patternFill patternType="solid">
          <fgColor theme="0"/>
          <bgColor them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5.png"/><Relationship Id="rId4" Type="http://schemas.openxmlformats.org/officeDocument/2006/relationships/image" Target="../media/image4.png"/><Relationship Id="rId5" Type="http://schemas.openxmlformats.org/officeDocument/2006/relationships/image" Target="../media/image8.png"/><Relationship Id="rId6" Type="http://schemas.openxmlformats.org/officeDocument/2006/relationships/image" Target="../media/image3.png"/><Relationship Id="rId7"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676275</xdr:colOff>
      <xdr:row>19</xdr:row>
      <xdr:rowOff>142875</xdr:rowOff>
    </xdr:from>
    <xdr:ext cx="1400175" cy="323850"/>
    <xdr:sp>
      <xdr:nvSpPr>
        <xdr:cNvPr id="3" name="Shape 3"/>
        <xdr:cNvSpPr/>
      </xdr:nvSpPr>
      <xdr:spPr>
        <a:xfrm>
          <a:off x="4650675" y="3622838"/>
          <a:ext cx="1390650" cy="314325"/>
        </a:xfrm>
        <a:prstGeom prst="rect">
          <a:avLst/>
        </a:prstGeom>
        <a:solidFill>
          <a:srgbClr val="00CCEA"/>
        </a:solidFill>
        <a:ln cap="flat" cmpd="sng" w="12700">
          <a:solidFill>
            <a:srgbClr val="0F486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000"/>
            <a:buFont typeface="Arial"/>
            <a:buNone/>
          </a:pPr>
          <a:r>
            <a:rPr lang="en-US" sz="1000">
              <a:solidFill>
                <a:schemeClr val="dk1"/>
              </a:solidFill>
              <a:latin typeface="Arial"/>
              <a:ea typeface="Arial"/>
              <a:cs typeface="Arial"/>
              <a:sym typeface="Arial"/>
            </a:rPr>
            <a:t>Ver hoja de punteo</a:t>
          </a:r>
          <a:endParaRPr sz="1400"/>
        </a:p>
      </xdr:txBody>
    </xdr:sp>
    <xdr:clientData fLocksWithSheet="0"/>
  </xdr:oneCellAnchor>
  <xdr:oneCellAnchor>
    <xdr:from>
      <xdr:col>1</xdr:col>
      <xdr:colOff>676275</xdr:colOff>
      <xdr:row>22</xdr:row>
      <xdr:rowOff>57150</xdr:rowOff>
    </xdr:from>
    <xdr:ext cx="1400175" cy="304800"/>
    <xdr:sp>
      <xdr:nvSpPr>
        <xdr:cNvPr id="4" name="Shape 4"/>
        <xdr:cNvSpPr/>
      </xdr:nvSpPr>
      <xdr:spPr>
        <a:xfrm>
          <a:off x="4650675" y="3632363"/>
          <a:ext cx="1390650" cy="295275"/>
        </a:xfrm>
        <a:prstGeom prst="rect">
          <a:avLst/>
        </a:prstGeom>
        <a:solidFill>
          <a:srgbClr val="00CCEA"/>
        </a:solidFill>
        <a:ln cap="flat" cmpd="sng" w="12700">
          <a:solidFill>
            <a:srgbClr val="0F486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000"/>
            <a:buFont typeface="Arial"/>
            <a:buNone/>
          </a:pPr>
          <a:r>
            <a:rPr lang="en-US" sz="1000">
              <a:solidFill>
                <a:schemeClr val="dk1"/>
              </a:solidFill>
              <a:latin typeface="Arial"/>
              <a:ea typeface="Arial"/>
              <a:cs typeface="Arial"/>
              <a:sym typeface="Arial"/>
            </a:rPr>
            <a:t>Ocultar hoja de punteo</a:t>
          </a:r>
          <a:endParaRPr sz="1400"/>
        </a:p>
      </xdr:txBody>
    </xdr:sp>
    <xdr:clientData fLocksWithSheet="0"/>
  </xdr:oneCellAnchor>
  <xdr:oneCellAnchor>
    <xdr:from>
      <xdr:col>2</xdr:col>
      <xdr:colOff>0</xdr:colOff>
      <xdr:row>3</xdr:row>
      <xdr:rowOff>0</xdr:rowOff>
    </xdr:from>
    <xdr:ext cx="285750" cy="1905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6</xdr:col>
      <xdr:colOff>0</xdr:colOff>
      <xdr:row>3</xdr:row>
      <xdr:rowOff>0</xdr:rowOff>
    </xdr:from>
    <xdr:ext cx="257175" cy="190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2</xdr:col>
      <xdr:colOff>0</xdr:colOff>
      <xdr:row>5</xdr:row>
      <xdr:rowOff>0</xdr:rowOff>
    </xdr:from>
    <xdr:ext cx="285750" cy="1905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6</xdr:col>
      <xdr:colOff>0</xdr:colOff>
      <xdr:row>5</xdr:row>
      <xdr:rowOff>0</xdr:rowOff>
    </xdr:from>
    <xdr:ext cx="257175" cy="190500"/>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0</xdr:colOff>
      <xdr:row>7</xdr:row>
      <xdr:rowOff>0</xdr:rowOff>
    </xdr:from>
    <xdr:ext cx="285750" cy="190500"/>
    <xdr:pic>
      <xdr:nvPicPr>
        <xdr:cNvPr id="0" name="image4.png"/>
        <xdr:cNvPicPr preferRelativeResize="0"/>
      </xdr:nvPicPr>
      <xdr:blipFill>
        <a:blip cstate="print" r:embed="rId4"/>
        <a:stretch>
          <a:fillRect/>
        </a:stretch>
      </xdr:blipFill>
      <xdr:spPr>
        <a:prstGeom prst="rect">
          <a:avLst/>
        </a:prstGeom>
        <a:noFill/>
      </xdr:spPr>
    </xdr:pic>
    <xdr:clientData fLocksWithSheet="0"/>
  </xdr:oneCellAnchor>
  <xdr:oneCellAnchor>
    <xdr:from>
      <xdr:col>6</xdr:col>
      <xdr:colOff>0</xdr:colOff>
      <xdr:row>7</xdr:row>
      <xdr:rowOff>0</xdr:rowOff>
    </xdr:from>
    <xdr:ext cx="257175" cy="190500"/>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0</xdr:colOff>
      <xdr:row>9</xdr:row>
      <xdr:rowOff>0</xdr:rowOff>
    </xdr:from>
    <xdr:ext cx="276225" cy="190500"/>
    <xdr:pic>
      <xdr:nvPicPr>
        <xdr:cNvPr id="0" name="image8.png"/>
        <xdr:cNvPicPr preferRelativeResize="0"/>
      </xdr:nvPicPr>
      <xdr:blipFill>
        <a:blip cstate="print" r:embed="rId5"/>
        <a:stretch>
          <a:fillRect/>
        </a:stretch>
      </xdr:blipFill>
      <xdr:spPr>
        <a:prstGeom prst="rect">
          <a:avLst/>
        </a:prstGeom>
        <a:noFill/>
      </xdr:spPr>
    </xdr:pic>
    <xdr:clientData fLocksWithSheet="0"/>
  </xdr:oneCellAnchor>
  <xdr:oneCellAnchor>
    <xdr:from>
      <xdr:col>6</xdr:col>
      <xdr:colOff>0</xdr:colOff>
      <xdr:row>9</xdr:row>
      <xdr:rowOff>0</xdr:rowOff>
    </xdr:from>
    <xdr:ext cx="257175" cy="190500"/>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0</xdr:colOff>
      <xdr:row>11</xdr:row>
      <xdr:rowOff>0</xdr:rowOff>
    </xdr:from>
    <xdr:ext cx="276225" cy="190500"/>
    <xdr:pic>
      <xdr:nvPicPr>
        <xdr:cNvPr id="0" name="image3.png"/>
        <xdr:cNvPicPr preferRelativeResize="0"/>
      </xdr:nvPicPr>
      <xdr:blipFill>
        <a:blip cstate="print" r:embed="rId6"/>
        <a:stretch>
          <a:fillRect/>
        </a:stretch>
      </xdr:blipFill>
      <xdr:spPr>
        <a:prstGeom prst="rect">
          <a:avLst/>
        </a:prstGeom>
        <a:noFill/>
      </xdr:spPr>
    </xdr:pic>
    <xdr:clientData fLocksWithSheet="0"/>
  </xdr:oneCellAnchor>
  <xdr:oneCellAnchor>
    <xdr:from>
      <xdr:col>6</xdr:col>
      <xdr:colOff>0</xdr:colOff>
      <xdr:row>11</xdr:row>
      <xdr:rowOff>0</xdr:rowOff>
    </xdr:from>
    <xdr:ext cx="257175" cy="190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2</xdr:col>
      <xdr:colOff>0</xdr:colOff>
      <xdr:row>13</xdr:row>
      <xdr:rowOff>0</xdr:rowOff>
    </xdr:from>
    <xdr:ext cx="276225" cy="190500"/>
    <xdr:pic>
      <xdr:nvPicPr>
        <xdr:cNvPr id="0" name="image3.png"/>
        <xdr:cNvPicPr preferRelativeResize="0"/>
      </xdr:nvPicPr>
      <xdr:blipFill>
        <a:blip cstate="print" r:embed="rId6"/>
        <a:stretch>
          <a:fillRect/>
        </a:stretch>
      </xdr:blipFill>
      <xdr:spPr>
        <a:prstGeom prst="rect">
          <a:avLst/>
        </a:prstGeom>
        <a:noFill/>
      </xdr:spPr>
    </xdr:pic>
    <xdr:clientData fLocksWithSheet="0"/>
  </xdr:oneCellAnchor>
  <xdr:oneCellAnchor>
    <xdr:from>
      <xdr:col>6</xdr:col>
      <xdr:colOff>0</xdr:colOff>
      <xdr:row>13</xdr:row>
      <xdr:rowOff>0</xdr:rowOff>
    </xdr:from>
    <xdr:ext cx="257175" cy="190500"/>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0</xdr:colOff>
      <xdr:row>15</xdr:row>
      <xdr:rowOff>0</xdr:rowOff>
    </xdr:from>
    <xdr:ext cx="266700" cy="190500"/>
    <xdr:pic>
      <xdr:nvPicPr>
        <xdr:cNvPr id="0" name="image6.png"/>
        <xdr:cNvPicPr preferRelativeResize="0"/>
      </xdr:nvPicPr>
      <xdr:blipFill>
        <a:blip cstate="print" r:embed="rId7"/>
        <a:stretch>
          <a:fillRect/>
        </a:stretch>
      </xdr:blipFill>
      <xdr:spPr>
        <a:prstGeom prst="rect">
          <a:avLst/>
        </a:prstGeom>
        <a:noFill/>
      </xdr:spPr>
    </xdr:pic>
    <xdr:clientData fLocksWithSheet="0"/>
  </xdr:oneCellAnchor>
  <xdr:oneCellAnchor>
    <xdr:from>
      <xdr:col>6</xdr:col>
      <xdr:colOff>0</xdr:colOff>
      <xdr:row>15</xdr:row>
      <xdr:rowOff>0</xdr:rowOff>
    </xdr:from>
    <xdr:ext cx="257175" cy="190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3114675</xdr:colOff>
      <xdr:row>3</xdr:row>
      <xdr:rowOff>19050</xdr:rowOff>
    </xdr:from>
    <xdr:ext cx="1876425" cy="69532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intiza.com/" TargetMode="Externa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showGridLines="0" workbookViewId="0"/>
  </sheetViews>
  <sheetFormatPr customHeight="1" defaultColWidth="12.63" defaultRowHeight="15.0"/>
  <cols>
    <col customWidth="1" min="1" max="1" width="8.25"/>
    <col customWidth="1" min="2" max="2" width="30.25"/>
    <col customWidth="1" min="3" max="3" width="9.88"/>
    <col customWidth="1" min="4" max="4" width="6.13"/>
    <col customWidth="1" min="5" max="5" width="5.63"/>
    <col customWidth="1" min="6" max="6" width="30.13"/>
    <col customWidth="1" min="7" max="7" width="9.63"/>
    <col customWidth="1" min="8" max="9" width="10.88"/>
    <col customWidth="1" min="10" max="26" width="10.63"/>
  </cols>
  <sheetData>
    <row r="1">
      <c r="A1" s="1" t="s">
        <v>0</v>
      </c>
      <c r="B1" s="2"/>
      <c r="C1" s="2"/>
      <c r="D1" s="2"/>
      <c r="E1" s="2"/>
      <c r="F1" s="2"/>
      <c r="G1" s="2"/>
      <c r="H1" s="2"/>
      <c r="I1" s="3"/>
    </row>
    <row r="4">
      <c r="B4" s="4" t="s">
        <v>1</v>
      </c>
      <c r="C4" s="4"/>
      <c r="F4" s="4" t="s">
        <v>2</v>
      </c>
      <c r="G4" s="4"/>
    </row>
    <row r="6">
      <c r="B6" s="4" t="s">
        <v>3</v>
      </c>
      <c r="C6" s="4"/>
      <c r="F6" s="4" t="s">
        <v>4</v>
      </c>
      <c r="G6" s="4"/>
    </row>
    <row r="8">
      <c r="B8" s="4" t="s">
        <v>5</v>
      </c>
      <c r="C8" s="4"/>
      <c r="D8" s="5"/>
      <c r="F8" s="4" t="s">
        <v>6</v>
      </c>
      <c r="G8" s="4"/>
    </row>
    <row r="10">
      <c r="B10" s="4" t="s">
        <v>7</v>
      </c>
      <c r="C10" s="4"/>
      <c r="F10" s="4" t="s">
        <v>8</v>
      </c>
      <c r="G10" s="4"/>
      <c r="I10" s="6" t="s">
        <v>9</v>
      </c>
    </row>
    <row r="12">
      <c r="B12" s="4" t="s">
        <v>10</v>
      </c>
      <c r="C12" s="4"/>
      <c r="F12" s="4" t="s">
        <v>11</v>
      </c>
      <c r="G12" s="4"/>
    </row>
    <row r="14">
      <c r="B14" s="4" t="s">
        <v>12</v>
      </c>
      <c r="C14" s="4"/>
      <c r="F14" s="4" t="s">
        <v>13</v>
      </c>
      <c r="G14" s="4"/>
    </row>
    <row r="16">
      <c r="B16" s="4" t="s">
        <v>14</v>
      </c>
      <c r="C16" s="4"/>
      <c r="F16" s="4" t="s">
        <v>15</v>
      </c>
      <c r="G16" s="4"/>
    </row>
    <row r="18">
      <c r="F18" s="6" t="s">
        <v>16</v>
      </c>
    </row>
    <row r="19">
      <c r="B19" s="7" t="s">
        <v>17</v>
      </c>
      <c r="C19" s="3"/>
    </row>
    <row r="20">
      <c r="B20" s="4"/>
      <c r="C20" s="4"/>
    </row>
    <row r="21" ht="15.75" customHeight="1">
      <c r="B21" s="4"/>
      <c r="C21" s="4"/>
    </row>
    <row r="22" ht="15.75" customHeight="1">
      <c r="B22" s="4"/>
      <c r="C22" s="4"/>
    </row>
    <row r="23" ht="15.75" customHeight="1">
      <c r="B23" s="4"/>
      <c r="C23" s="4"/>
    </row>
    <row r="24" ht="15.75" customHeight="1">
      <c r="B24" s="4"/>
      <c r="C24" s="4"/>
    </row>
    <row r="25" ht="15.75" customHeight="1">
      <c r="B25" s="4"/>
      <c r="C25" s="4"/>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I1"/>
    <mergeCell ref="B19:C19"/>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fitToPage="1"/>
  </sheetPr>
  <sheetViews>
    <sheetView showGridLines="0" workbookViewId="0"/>
  </sheetViews>
  <sheetFormatPr customHeight="1" defaultColWidth="12.63" defaultRowHeight="15.0"/>
  <cols>
    <col customWidth="1" min="1" max="1" width="1.38"/>
    <col customWidth="1" min="2" max="2" width="5.88"/>
    <col customWidth="1" min="3" max="3" width="61.75"/>
    <col customWidth="1" min="4" max="4" width="53.63"/>
    <col customWidth="1" min="5" max="5" width="14.63"/>
    <col customWidth="1" min="6" max="6" width="65.38"/>
    <col customWidth="1" min="7" max="26" width="11.38"/>
  </cols>
  <sheetData>
    <row r="1" ht="7.5" customHeight="1">
      <c r="B1" s="8"/>
      <c r="C1" s="9"/>
      <c r="E1" s="10"/>
    </row>
    <row r="2" ht="27.75" customHeight="1">
      <c r="B2" s="11" t="s">
        <v>18</v>
      </c>
      <c r="C2" s="2"/>
      <c r="D2" s="2"/>
      <c r="E2" s="2"/>
      <c r="F2" s="3"/>
    </row>
    <row r="3">
      <c r="B3" s="8"/>
      <c r="C3" s="9"/>
      <c r="D3" s="6"/>
      <c r="E3" s="10"/>
      <c r="F3" s="6"/>
    </row>
    <row r="4">
      <c r="B4" s="12" t="s">
        <v>19</v>
      </c>
      <c r="C4" s="13"/>
      <c r="D4" s="13"/>
      <c r="E4" s="13"/>
      <c r="F4" s="14"/>
    </row>
    <row r="5">
      <c r="B5" s="15"/>
      <c r="F5" s="16"/>
    </row>
    <row r="6">
      <c r="B6" s="15"/>
      <c r="F6" s="16"/>
    </row>
    <row r="7">
      <c r="B7" s="15"/>
      <c r="F7" s="16"/>
    </row>
    <row r="8" ht="81.0" customHeight="1">
      <c r="B8" s="17"/>
      <c r="C8" s="18"/>
      <c r="D8" s="18"/>
      <c r="E8" s="18"/>
      <c r="F8" s="19"/>
    </row>
    <row r="9">
      <c r="B9" s="8"/>
      <c r="C9" s="9"/>
      <c r="D9" s="6"/>
      <c r="E9" s="10"/>
      <c r="F9" s="6"/>
    </row>
    <row r="10">
      <c r="B10" s="20" t="s">
        <v>20</v>
      </c>
      <c r="C10" s="21"/>
      <c r="D10" s="21"/>
      <c r="E10" s="21"/>
      <c r="F10" s="22"/>
    </row>
    <row r="11">
      <c r="B11" s="23" t="s">
        <v>21</v>
      </c>
      <c r="C11" s="22"/>
      <c r="D11" s="24" t="s">
        <v>22</v>
      </c>
      <c r="E11" s="21"/>
      <c r="F11" s="22"/>
    </row>
    <row r="12">
      <c r="B12" s="23" t="s">
        <v>23</v>
      </c>
      <c r="C12" s="22"/>
      <c r="D12" s="25" t="s">
        <v>24</v>
      </c>
      <c r="E12" s="21"/>
      <c r="F12" s="22"/>
    </row>
    <row r="13">
      <c r="B13" s="23" t="s">
        <v>25</v>
      </c>
      <c r="C13" s="22"/>
      <c r="D13" s="24" t="s">
        <v>26</v>
      </c>
      <c r="E13" s="21"/>
      <c r="F13" s="22"/>
    </row>
    <row r="14" ht="14.25" customHeight="1">
      <c r="B14" s="26" t="s">
        <v>27</v>
      </c>
      <c r="C14" s="22"/>
      <c r="D14" s="27" t="s">
        <v>28</v>
      </c>
      <c r="E14" s="21"/>
      <c r="F14" s="22"/>
    </row>
    <row r="15" ht="14.25" customHeight="1">
      <c r="B15" s="26" t="s">
        <v>29</v>
      </c>
      <c r="C15" s="22"/>
      <c r="D15" s="28">
        <v>46010.0</v>
      </c>
      <c r="E15" s="21"/>
      <c r="F15" s="22"/>
    </row>
    <row r="16" ht="14.25" customHeight="1">
      <c r="B16" s="26" t="s">
        <v>30</v>
      </c>
      <c r="C16" s="22"/>
      <c r="D16" s="24"/>
      <c r="E16" s="21"/>
      <c r="F16" s="22"/>
    </row>
    <row r="17" ht="14.25" customHeight="1">
      <c r="B17" s="26" t="s">
        <v>31</v>
      </c>
      <c r="C17" s="22"/>
      <c r="D17" s="24"/>
      <c r="E17" s="21"/>
      <c r="F17" s="22"/>
    </row>
    <row r="18">
      <c r="B18" s="8"/>
      <c r="C18" s="9"/>
      <c r="E18" s="10"/>
    </row>
    <row r="19">
      <c r="B19" s="29" t="s">
        <v>32</v>
      </c>
      <c r="C19" s="30" t="s">
        <v>33</v>
      </c>
      <c r="D19" s="29" t="s">
        <v>34</v>
      </c>
      <c r="E19" s="29" t="s">
        <v>35</v>
      </c>
      <c r="F19" s="29" t="s">
        <v>36</v>
      </c>
    </row>
    <row r="20" ht="14.25" customHeight="1">
      <c r="B20" s="31" t="s">
        <v>37</v>
      </c>
      <c r="C20" s="32"/>
      <c r="D20" s="33"/>
      <c r="E20" s="34"/>
      <c r="F20" s="35"/>
    </row>
    <row r="21" ht="79.5" customHeight="1">
      <c r="B21" s="36">
        <v>1.0</v>
      </c>
      <c r="C21" s="37" t="s">
        <v>38</v>
      </c>
      <c r="D21" s="38" t="s">
        <v>39</v>
      </c>
      <c r="E21" s="39" t="s">
        <v>40</v>
      </c>
      <c r="F21" s="40" t="s">
        <v>41</v>
      </c>
    </row>
    <row r="22" ht="117.0" customHeight="1">
      <c r="B22" s="36">
        <v>2.0</v>
      </c>
      <c r="C22" s="37" t="s">
        <v>42</v>
      </c>
      <c r="D22" s="38" t="s">
        <v>43</v>
      </c>
      <c r="E22" s="41" t="s">
        <v>44</v>
      </c>
      <c r="F22" s="40" t="s">
        <v>45</v>
      </c>
    </row>
    <row r="23">
      <c r="B23" s="36">
        <v>3.0</v>
      </c>
      <c r="C23" s="37" t="s">
        <v>46</v>
      </c>
      <c r="D23" s="38" t="s">
        <v>47</v>
      </c>
      <c r="E23" s="39" t="s">
        <v>48</v>
      </c>
      <c r="F23" s="40" t="s">
        <v>49</v>
      </c>
    </row>
    <row r="24">
      <c r="B24" s="36">
        <v>4.0</v>
      </c>
      <c r="C24" s="37" t="s">
        <v>50</v>
      </c>
      <c r="D24" s="36" t="s">
        <v>51</v>
      </c>
      <c r="E24" s="42" t="s">
        <v>52</v>
      </c>
      <c r="F24" s="40" t="s">
        <v>53</v>
      </c>
    </row>
    <row r="25">
      <c r="B25" s="43">
        <v>5.0</v>
      </c>
      <c r="C25" s="44" t="s">
        <v>54</v>
      </c>
      <c r="D25" s="36" t="s">
        <v>51</v>
      </c>
      <c r="E25" s="42" t="s">
        <v>52</v>
      </c>
      <c r="F25" s="40" t="s">
        <v>55</v>
      </c>
    </row>
    <row r="26" ht="14.25" customHeight="1">
      <c r="B26" s="31" t="s">
        <v>56</v>
      </c>
      <c r="C26" s="32"/>
      <c r="D26" s="33"/>
      <c r="E26" s="34"/>
      <c r="F26" s="35"/>
    </row>
    <row r="27">
      <c r="B27" s="36">
        <v>1.0</v>
      </c>
      <c r="C27" s="37" t="s">
        <v>57</v>
      </c>
      <c r="D27" s="36" t="s">
        <v>58</v>
      </c>
      <c r="E27" s="39" t="s">
        <v>59</v>
      </c>
      <c r="F27" s="40" t="s">
        <v>60</v>
      </c>
    </row>
    <row r="28">
      <c r="B28" s="36">
        <v>2.0</v>
      </c>
      <c r="C28" s="37" t="s">
        <v>61</v>
      </c>
      <c r="D28" s="36" t="s">
        <v>62</v>
      </c>
      <c r="E28" s="39" t="s">
        <v>59</v>
      </c>
      <c r="F28" s="40" t="s">
        <v>63</v>
      </c>
    </row>
    <row r="29">
      <c r="B29" s="36">
        <v>3.0</v>
      </c>
      <c r="C29" s="37" t="s">
        <v>64</v>
      </c>
      <c r="D29" s="36" t="s">
        <v>65</v>
      </c>
      <c r="E29" s="39" t="s">
        <v>59</v>
      </c>
      <c r="F29" s="45" t="s">
        <v>66</v>
      </c>
    </row>
    <row r="30" ht="45.0" customHeight="1">
      <c r="B30" s="36">
        <v>4.0</v>
      </c>
      <c r="C30" s="37" t="s">
        <v>67</v>
      </c>
      <c r="D30" s="36" t="s">
        <v>51</v>
      </c>
      <c r="E30" s="42"/>
      <c r="F30" s="40" t="s">
        <v>68</v>
      </c>
    </row>
    <row r="31">
      <c r="B31" s="36">
        <v>5.0</v>
      </c>
      <c r="C31" s="37" t="s">
        <v>69</v>
      </c>
      <c r="D31" s="36" t="s">
        <v>70</v>
      </c>
      <c r="E31" s="39" t="s">
        <v>59</v>
      </c>
      <c r="F31" s="45" t="s">
        <v>71</v>
      </c>
    </row>
    <row r="32">
      <c r="B32" s="36">
        <v>6.0</v>
      </c>
      <c r="C32" s="37" t="s">
        <v>72</v>
      </c>
      <c r="D32" s="36" t="s">
        <v>73</v>
      </c>
      <c r="E32" s="39" t="s">
        <v>59</v>
      </c>
      <c r="F32" s="40" t="s">
        <v>74</v>
      </c>
    </row>
    <row r="33">
      <c r="B33" s="36">
        <v>7.0</v>
      </c>
      <c r="C33" s="37" t="s">
        <v>75</v>
      </c>
      <c r="D33" s="36" t="s">
        <v>76</v>
      </c>
      <c r="E33" s="39" t="s">
        <v>59</v>
      </c>
      <c r="F33" s="40" t="s">
        <v>77</v>
      </c>
    </row>
    <row r="34">
      <c r="B34" s="36">
        <v>8.0</v>
      </c>
      <c r="C34" s="37" t="s">
        <v>78</v>
      </c>
      <c r="D34" s="36" t="s">
        <v>79</v>
      </c>
      <c r="E34" s="39" t="s">
        <v>59</v>
      </c>
      <c r="F34" s="40" t="s">
        <v>80</v>
      </c>
    </row>
    <row r="35">
      <c r="B35" s="36">
        <v>9.0</v>
      </c>
      <c r="C35" s="37" t="s">
        <v>81</v>
      </c>
      <c r="D35" s="36" t="s">
        <v>51</v>
      </c>
      <c r="E35" s="39" t="s">
        <v>52</v>
      </c>
      <c r="F35" s="40" t="s">
        <v>82</v>
      </c>
    </row>
    <row r="36" ht="15.75" customHeight="1">
      <c r="B36" s="36">
        <v>10.0</v>
      </c>
      <c r="C36" s="37" t="s">
        <v>83</v>
      </c>
      <c r="D36" s="36" t="s">
        <v>51</v>
      </c>
      <c r="E36" s="42"/>
      <c r="F36" s="45" t="s">
        <v>84</v>
      </c>
    </row>
    <row r="37">
      <c r="B37" s="36">
        <v>11.0</v>
      </c>
      <c r="C37" s="37" t="s">
        <v>85</v>
      </c>
      <c r="D37" s="36" t="s">
        <v>86</v>
      </c>
      <c r="E37" s="39" t="s">
        <v>48</v>
      </c>
      <c r="F37" s="40" t="s">
        <v>87</v>
      </c>
    </row>
    <row r="38">
      <c r="B38" s="36">
        <v>12.0</v>
      </c>
      <c r="C38" s="37" t="s">
        <v>88</v>
      </c>
      <c r="D38" s="36" t="s">
        <v>51</v>
      </c>
      <c r="E38" s="42"/>
      <c r="F38" s="40" t="s">
        <v>89</v>
      </c>
    </row>
    <row r="39" ht="14.25" hidden="1" customHeight="1">
      <c r="B39" s="31" t="s">
        <v>90</v>
      </c>
      <c r="C39" s="32"/>
      <c r="D39" s="33"/>
      <c r="E39" s="34"/>
      <c r="F39" s="35"/>
    </row>
    <row r="40" ht="15.75" hidden="1" customHeight="1">
      <c r="B40" s="36">
        <v>1.0</v>
      </c>
      <c r="C40" s="37" t="s">
        <v>91</v>
      </c>
      <c r="D40" s="36" t="s">
        <v>92</v>
      </c>
      <c r="E40" s="42"/>
      <c r="F40" s="46"/>
    </row>
    <row r="41" ht="58.5" hidden="1" customHeight="1">
      <c r="B41" s="36">
        <v>2.0</v>
      </c>
      <c r="C41" s="37" t="s">
        <v>93</v>
      </c>
      <c r="D41" s="36" t="s">
        <v>94</v>
      </c>
      <c r="E41" s="42"/>
      <c r="F41" s="46"/>
    </row>
    <row r="42" ht="15.75" hidden="1" customHeight="1">
      <c r="B42" s="36">
        <v>3.0</v>
      </c>
      <c r="C42" s="37" t="s">
        <v>95</v>
      </c>
      <c r="D42" s="36" t="s">
        <v>96</v>
      </c>
      <c r="E42" s="42"/>
      <c r="F42" s="46"/>
    </row>
    <row r="43" ht="87.75" hidden="1" customHeight="1">
      <c r="B43" s="36">
        <v>4.0</v>
      </c>
      <c r="C43" s="37" t="s">
        <v>97</v>
      </c>
      <c r="D43" s="36" t="s">
        <v>98</v>
      </c>
      <c r="E43" s="42"/>
      <c r="F43" s="46"/>
    </row>
    <row r="44" ht="72.75" hidden="1" customHeight="1">
      <c r="B44" s="36">
        <v>5.0</v>
      </c>
      <c r="C44" s="37" t="s">
        <v>99</v>
      </c>
      <c r="D44" s="36" t="s">
        <v>100</v>
      </c>
      <c r="E44" s="42"/>
      <c r="F44" s="46"/>
    </row>
    <row r="45" ht="14.25" hidden="1" customHeight="1">
      <c r="B45" s="31" t="s">
        <v>101</v>
      </c>
      <c r="C45" s="32"/>
      <c r="D45" s="33"/>
      <c r="E45" s="34"/>
      <c r="F45" s="35"/>
    </row>
    <row r="46" ht="15.75" hidden="1" customHeight="1">
      <c r="B46" s="36">
        <v>1.0</v>
      </c>
      <c r="C46" s="37" t="s">
        <v>102</v>
      </c>
      <c r="D46" s="36" t="s">
        <v>103</v>
      </c>
      <c r="E46" s="42"/>
      <c r="F46" s="46"/>
    </row>
    <row r="47" ht="15.75" hidden="1" customHeight="1">
      <c r="B47" s="36">
        <v>2.0</v>
      </c>
      <c r="C47" s="37" t="s">
        <v>104</v>
      </c>
      <c r="D47" s="36" t="s">
        <v>105</v>
      </c>
      <c r="E47" s="42"/>
      <c r="F47" s="46"/>
    </row>
    <row r="48" ht="15.75" hidden="1" customHeight="1">
      <c r="B48" s="36">
        <v>3.0</v>
      </c>
      <c r="C48" s="37" t="s">
        <v>106</v>
      </c>
      <c r="D48" s="36" t="s">
        <v>107</v>
      </c>
      <c r="E48" s="42"/>
      <c r="F48" s="46"/>
    </row>
    <row r="49" ht="15.75" hidden="1" customHeight="1">
      <c r="B49" s="36">
        <v>4.0</v>
      </c>
      <c r="C49" s="37" t="s">
        <v>108</v>
      </c>
      <c r="D49" s="36" t="s">
        <v>109</v>
      </c>
      <c r="E49" s="42"/>
      <c r="F49" s="46"/>
    </row>
    <row r="50" ht="14.25" hidden="1" customHeight="1">
      <c r="B50" s="31" t="s">
        <v>110</v>
      </c>
      <c r="C50" s="32"/>
      <c r="D50" s="33"/>
      <c r="E50" s="34"/>
      <c r="F50" s="35"/>
    </row>
    <row r="51" ht="15.75" hidden="1" customHeight="1">
      <c r="A51" s="47"/>
      <c r="B51" s="36">
        <v>1.0</v>
      </c>
      <c r="C51" s="37" t="s">
        <v>111</v>
      </c>
      <c r="D51" s="36" t="s">
        <v>51</v>
      </c>
      <c r="E51" s="42"/>
      <c r="F51" s="43"/>
      <c r="G51" s="47"/>
      <c r="H51" s="47"/>
      <c r="I51" s="47"/>
      <c r="J51" s="47"/>
      <c r="K51" s="47"/>
      <c r="L51" s="47"/>
      <c r="M51" s="47"/>
      <c r="N51" s="47"/>
      <c r="O51" s="47"/>
      <c r="P51" s="47"/>
      <c r="Q51" s="47"/>
      <c r="R51" s="47"/>
      <c r="S51" s="47"/>
      <c r="T51" s="47"/>
      <c r="U51" s="47"/>
      <c r="V51" s="47"/>
      <c r="W51" s="47"/>
      <c r="X51" s="47"/>
      <c r="Y51" s="47"/>
      <c r="Z51" s="47"/>
    </row>
    <row r="52" ht="15.75" hidden="1" customHeight="1">
      <c r="B52" s="36">
        <v>2.0</v>
      </c>
      <c r="C52" s="37" t="s">
        <v>112</v>
      </c>
      <c r="D52" s="36" t="s">
        <v>51</v>
      </c>
      <c r="E52" s="42"/>
      <c r="F52" s="46"/>
    </row>
    <row r="53" ht="15.75" hidden="1" customHeight="1">
      <c r="B53" s="36">
        <v>3.0</v>
      </c>
      <c r="C53" s="37" t="s">
        <v>102</v>
      </c>
      <c r="D53" s="38" t="s">
        <v>113</v>
      </c>
      <c r="E53" s="42"/>
      <c r="F53" s="46"/>
    </row>
    <row r="54" ht="14.25" hidden="1" customHeight="1">
      <c r="B54" s="31" t="s">
        <v>114</v>
      </c>
      <c r="C54" s="32"/>
      <c r="D54" s="33"/>
      <c r="E54" s="34"/>
      <c r="F54" s="35"/>
    </row>
    <row r="55" ht="15.75" hidden="1" customHeight="1">
      <c r="B55" s="36">
        <v>1.0</v>
      </c>
      <c r="C55" s="37" t="s">
        <v>115</v>
      </c>
      <c r="D55" s="36" t="s">
        <v>116</v>
      </c>
      <c r="E55" s="42"/>
      <c r="F55" s="46"/>
    </row>
    <row r="56" ht="15.75" hidden="1" customHeight="1">
      <c r="B56" s="36">
        <v>2.0</v>
      </c>
      <c r="C56" s="37" t="s">
        <v>117</v>
      </c>
      <c r="D56" s="36" t="s">
        <v>118</v>
      </c>
      <c r="E56" s="42"/>
      <c r="F56" s="46"/>
    </row>
    <row r="57" ht="90.75" hidden="1" customHeight="1">
      <c r="B57" s="36">
        <v>3.0</v>
      </c>
      <c r="C57" s="37" t="s">
        <v>119</v>
      </c>
      <c r="D57" s="36" t="s">
        <v>120</v>
      </c>
      <c r="E57" s="42"/>
      <c r="F57" s="46"/>
    </row>
    <row r="58" ht="46.5" hidden="1" customHeight="1">
      <c r="B58" s="36">
        <v>4.0</v>
      </c>
      <c r="C58" s="37" t="s">
        <v>121</v>
      </c>
      <c r="D58" s="36" t="s">
        <v>51</v>
      </c>
      <c r="E58" s="42"/>
      <c r="F58" s="46"/>
    </row>
    <row r="59" ht="48.0" hidden="1" customHeight="1">
      <c r="B59" s="36">
        <v>5.0</v>
      </c>
      <c r="C59" s="37" t="s">
        <v>122</v>
      </c>
      <c r="D59" s="36" t="s">
        <v>51</v>
      </c>
      <c r="E59" s="42"/>
      <c r="F59" s="46"/>
    </row>
    <row r="60" ht="15.75" hidden="1" customHeight="1">
      <c r="B60" s="36">
        <v>6.0</v>
      </c>
      <c r="C60" s="37" t="s">
        <v>123</v>
      </c>
      <c r="D60" s="38" t="s">
        <v>124</v>
      </c>
      <c r="E60" s="42"/>
      <c r="F60" s="46"/>
    </row>
    <row r="61" ht="14.25" customHeight="1">
      <c r="B61" s="31" t="s">
        <v>125</v>
      </c>
      <c r="C61" s="32"/>
      <c r="D61" s="33"/>
      <c r="E61" s="34"/>
      <c r="F61" s="35"/>
    </row>
    <row r="62">
      <c r="B62" s="36">
        <v>1.0</v>
      </c>
      <c r="C62" s="37" t="s">
        <v>126</v>
      </c>
      <c r="D62" s="38" t="s">
        <v>127</v>
      </c>
      <c r="E62" s="39" t="s">
        <v>59</v>
      </c>
      <c r="F62" s="40" t="s">
        <v>128</v>
      </c>
    </row>
    <row r="63">
      <c r="B63" s="36">
        <v>2.0</v>
      </c>
      <c r="C63" s="37" t="s">
        <v>129</v>
      </c>
      <c r="D63" s="38" t="s">
        <v>130</v>
      </c>
      <c r="E63" s="39" t="s">
        <v>48</v>
      </c>
      <c r="F63" s="40" t="s">
        <v>131</v>
      </c>
    </row>
    <row r="64">
      <c r="B64" s="36">
        <v>3.0</v>
      </c>
      <c r="C64" s="37" t="s">
        <v>132</v>
      </c>
      <c r="D64" s="38" t="s">
        <v>133</v>
      </c>
      <c r="E64" s="39" t="s">
        <v>44</v>
      </c>
      <c r="F64" s="40" t="s">
        <v>134</v>
      </c>
    </row>
    <row r="65">
      <c r="B65" s="36">
        <v>4.0</v>
      </c>
      <c r="C65" s="37" t="s">
        <v>135</v>
      </c>
      <c r="D65" s="38" t="s">
        <v>136</v>
      </c>
      <c r="E65" s="39" t="s">
        <v>59</v>
      </c>
      <c r="F65" s="40" t="s">
        <v>137</v>
      </c>
    </row>
    <row r="66">
      <c r="B66" s="36">
        <v>5.0</v>
      </c>
      <c r="C66" s="37" t="s">
        <v>138</v>
      </c>
      <c r="D66" s="38" t="s">
        <v>139</v>
      </c>
      <c r="E66" s="39" t="s">
        <v>44</v>
      </c>
      <c r="F66" s="45" t="s">
        <v>140</v>
      </c>
    </row>
    <row r="67">
      <c r="B67" s="36">
        <v>6.0</v>
      </c>
      <c r="C67" s="37" t="s">
        <v>141</v>
      </c>
      <c r="D67" s="38" t="s">
        <v>142</v>
      </c>
      <c r="E67" s="39" t="s">
        <v>40</v>
      </c>
      <c r="F67" s="40" t="s">
        <v>143</v>
      </c>
    </row>
    <row r="68">
      <c r="B68" s="36">
        <v>7.0</v>
      </c>
      <c r="C68" s="37" t="s">
        <v>144</v>
      </c>
      <c r="D68" s="38" t="s">
        <v>145</v>
      </c>
      <c r="E68" s="39" t="s">
        <v>48</v>
      </c>
      <c r="F68" s="45" t="s">
        <v>146</v>
      </c>
    </row>
    <row r="69" ht="14.25" customHeight="1">
      <c r="B69" s="31" t="s">
        <v>147</v>
      </c>
      <c r="C69" s="32"/>
      <c r="D69" s="33"/>
      <c r="E69" s="34"/>
      <c r="F69" s="35"/>
    </row>
    <row r="70" ht="99.0" customHeight="1">
      <c r="B70" s="36">
        <v>1.0</v>
      </c>
      <c r="C70" s="37" t="s">
        <v>117</v>
      </c>
      <c r="D70" s="36" t="s">
        <v>148</v>
      </c>
      <c r="E70" s="39" t="s">
        <v>48</v>
      </c>
      <c r="F70" s="40" t="s">
        <v>149</v>
      </c>
    </row>
    <row r="71" ht="86.25" customHeight="1">
      <c r="B71" s="36">
        <v>2.0</v>
      </c>
      <c r="C71" s="37" t="s">
        <v>119</v>
      </c>
      <c r="D71" s="36" t="s">
        <v>150</v>
      </c>
      <c r="E71" s="39" t="s">
        <v>40</v>
      </c>
      <c r="F71" s="40" t="s">
        <v>151</v>
      </c>
    </row>
    <row r="72" ht="131.25" customHeight="1">
      <c r="B72" s="36">
        <v>3.0</v>
      </c>
      <c r="C72" s="37" t="s">
        <v>152</v>
      </c>
      <c r="D72" s="36" t="s">
        <v>153</v>
      </c>
      <c r="E72" s="42"/>
      <c r="F72" s="45" t="s">
        <v>154</v>
      </c>
    </row>
    <row r="73">
      <c r="B73" s="36">
        <v>4.0</v>
      </c>
      <c r="C73" s="37" t="s">
        <v>155</v>
      </c>
      <c r="D73" s="36" t="s">
        <v>156</v>
      </c>
      <c r="E73" s="39" t="s">
        <v>59</v>
      </c>
      <c r="F73" s="45" t="s">
        <v>154</v>
      </c>
    </row>
    <row r="74">
      <c r="B74" s="36">
        <v>5.0</v>
      </c>
      <c r="C74" s="37" t="s">
        <v>157</v>
      </c>
      <c r="D74" s="38" t="s">
        <v>158</v>
      </c>
      <c r="E74" s="42"/>
      <c r="F74" s="40" t="s">
        <v>159</v>
      </c>
    </row>
    <row r="75">
      <c r="B75" s="36">
        <v>6.0</v>
      </c>
      <c r="C75" s="37" t="s">
        <v>160</v>
      </c>
      <c r="D75" s="38" t="s">
        <v>161</v>
      </c>
      <c r="E75" s="39" t="s">
        <v>48</v>
      </c>
      <c r="F75" s="40" t="s">
        <v>162</v>
      </c>
    </row>
    <row r="76">
      <c r="B76" s="36">
        <v>7.0</v>
      </c>
      <c r="C76" s="37" t="s">
        <v>163</v>
      </c>
      <c r="D76" s="36" t="s">
        <v>164</v>
      </c>
      <c r="E76" s="39" t="s">
        <v>165</v>
      </c>
      <c r="F76" s="40" t="s">
        <v>166</v>
      </c>
    </row>
    <row r="77">
      <c r="B77" s="36">
        <v>8.0</v>
      </c>
      <c r="C77" s="37" t="s">
        <v>167</v>
      </c>
      <c r="D77" s="36" t="s">
        <v>168</v>
      </c>
      <c r="E77" s="39" t="s">
        <v>59</v>
      </c>
      <c r="F77" s="40" t="s">
        <v>169</v>
      </c>
    </row>
    <row r="78">
      <c r="B78" s="36">
        <v>9.0</v>
      </c>
      <c r="C78" s="37" t="s">
        <v>170</v>
      </c>
      <c r="D78" s="36" t="s">
        <v>171</v>
      </c>
      <c r="E78" s="42"/>
      <c r="F78" s="45" t="s">
        <v>172</v>
      </c>
    </row>
    <row r="79" ht="14.25" hidden="1" customHeight="1">
      <c r="B79" s="31" t="s">
        <v>173</v>
      </c>
      <c r="C79" s="32"/>
      <c r="D79" s="33"/>
      <c r="E79" s="34"/>
      <c r="F79" s="35"/>
    </row>
    <row r="80" ht="15.75" hidden="1" customHeight="1">
      <c r="B80" s="36">
        <v>1.0</v>
      </c>
      <c r="C80" s="37" t="s">
        <v>174</v>
      </c>
      <c r="D80" s="36" t="s">
        <v>51</v>
      </c>
      <c r="E80" s="42"/>
      <c r="F80" s="46"/>
    </row>
    <row r="81" ht="15.75" hidden="1" customHeight="1">
      <c r="B81" s="36">
        <v>2.0</v>
      </c>
      <c r="C81" s="37" t="s">
        <v>175</v>
      </c>
      <c r="D81" s="36" t="s">
        <v>176</v>
      </c>
      <c r="E81" s="42"/>
      <c r="F81" s="46"/>
    </row>
    <row r="82" ht="15.75" hidden="1" customHeight="1">
      <c r="B82" s="36">
        <v>3.0</v>
      </c>
      <c r="C82" s="37" t="s">
        <v>177</v>
      </c>
      <c r="D82" s="36" t="s">
        <v>178</v>
      </c>
      <c r="E82" s="42"/>
      <c r="F82" s="46"/>
    </row>
    <row r="83" ht="15.75" hidden="1" customHeight="1">
      <c r="B83" s="36">
        <v>4.0</v>
      </c>
      <c r="C83" s="37" t="s">
        <v>179</v>
      </c>
      <c r="D83" s="36" t="s">
        <v>51</v>
      </c>
      <c r="E83" s="42"/>
      <c r="F83" s="46"/>
    </row>
    <row r="84" ht="15.75" hidden="1" customHeight="1">
      <c r="B84" s="36">
        <v>5.0</v>
      </c>
      <c r="C84" s="37" t="s">
        <v>180</v>
      </c>
      <c r="D84" s="36" t="s">
        <v>51</v>
      </c>
      <c r="E84" s="42"/>
      <c r="F84" s="46"/>
    </row>
    <row r="85" ht="14.25" hidden="1" customHeight="1">
      <c r="B85" s="31" t="s">
        <v>181</v>
      </c>
      <c r="C85" s="32"/>
      <c r="D85" s="33"/>
      <c r="E85" s="34"/>
      <c r="F85" s="35"/>
    </row>
    <row r="86" ht="15.75" hidden="1" customHeight="1">
      <c r="B86" s="36">
        <v>1.0</v>
      </c>
      <c r="C86" s="37" t="s">
        <v>182</v>
      </c>
      <c r="D86" s="36" t="s">
        <v>183</v>
      </c>
      <c r="E86" s="42"/>
      <c r="F86" s="46"/>
    </row>
    <row r="87" ht="15.75" hidden="1" customHeight="1">
      <c r="B87" s="36">
        <v>2.0</v>
      </c>
      <c r="C87" s="37" t="s">
        <v>184</v>
      </c>
      <c r="D87" s="36" t="s">
        <v>51</v>
      </c>
      <c r="E87" s="42"/>
      <c r="F87" s="46"/>
    </row>
    <row r="88" ht="15.75" hidden="1" customHeight="1">
      <c r="B88" s="36">
        <v>3.0</v>
      </c>
      <c r="C88" s="37" t="s">
        <v>185</v>
      </c>
      <c r="D88" s="36" t="s">
        <v>51</v>
      </c>
      <c r="E88" s="42"/>
      <c r="F88" s="46"/>
    </row>
    <row r="89" ht="14.25" hidden="1" customHeight="1">
      <c r="B89" s="31" t="s">
        <v>186</v>
      </c>
      <c r="C89" s="32"/>
      <c r="D89" s="33"/>
      <c r="E89" s="34"/>
      <c r="F89" s="35"/>
    </row>
    <row r="90" ht="15.75" hidden="1" customHeight="1">
      <c r="B90" s="36">
        <v>1.0</v>
      </c>
      <c r="C90" s="37" t="s">
        <v>187</v>
      </c>
      <c r="D90" s="36" t="s">
        <v>188</v>
      </c>
      <c r="E90" s="42"/>
      <c r="F90" s="46"/>
    </row>
    <row r="91" ht="15.75" hidden="1" customHeight="1">
      <c r="B91" s="36">
        <v>2.0</v>
      </c>
      <c r="C91" s="37" t="s">
        <v>189</v>
      </c>
      <c r="D91" s="38" t="s">
        <v>190</v>
      </c>
      <c r="E91" s="42"/>
      <c r="F91" s="46"/>
    </row>
    <row r="92" ht="15.75" hidden="1" customHeight="1">
      <c r="B92" s="36">
        <v>3.0</v>
      </c>
      <c r="C92" s="37" t="s">
        <v>191</v>
      </c>
      <c r="D92" s="36" t="s">
        <v>51</v>
      </c>
      <c r="E92" s="42"/>
      <c r="F92" s="46"/>
    </row>
    <row r="93" ht="14.25" customHeight="1">
      <c r="A93" s="47"/>
      <c r="B93" s="31" t="s">
        <v>192</v>
      </c>
      <c r="C93" s="32"/>
      <c r="D93" s="33"/>
      <c r="E93" s="34"/>
      <c r="F93" s="35"/>
      <c r="G93" s="47"/>
      <c r="H93" s="47"/>
      <c r="I93" s="47"/>
      <c r="J93" s="47"/>
      <c r="K93" s="47"/>
      <c r="L93" s="47"/>
      <c r="M93" s="47"/>
      <c r="N93" s="47"/>
      <c r="O93" s="47"/>
      <c r="P93" s="47"/>
      <c r="Q93" s="47"/>
      <c r="R93" s="47"/>
      <c r="S93" s="47"/>
      <c r="T93" s="47"/>
      <c r="U93" s="47"/>
      <c r="V93" s="47"/>
      <c r="W93" s="47"/>
      <c r="X93" s="47"/>
      <c r="Y93" s="47"/>
      <c r="Z93" s="47"/>
    </row>
    <row r="94">
      <c r="A94" s="47"/>
      <c r="B94" s="36">
        <v>1.0</v>
      </c>
      <c r="C94" s="37" t="s">
        <v>193</v>
      </c>
      <c r="D94" s="38" t="s">
        <v>194</v>
      </c>
      <c r="E94" s="48"/>
      <c r="F94" s="45" t="s">
        <v>195</v>
      </c>
      <c r="G94" s="47"/>
      <c r="H94" s="47"/>
      <c r="I94" s="47"/>
      <c r="J94" s="47"/>
      <c r="K94" s="47"/>
      <c r="L94" s="47"/>
      <c r="M94" s="47"/>
      <c r="N94" s="47"/>
      <c r="O94" s="47"/>
      <c r="P94" s="47"/>
      <c r="Q94" s="47"/>
      <c r="R94" s="47"/>
      <c r="S94" s="47"/>
      <c r="T94" s="47"/>
      <c r="U94" s="47"/>
      <c r="V94" s="47"/>
      <c r="W94" s="47"/>
      <c r="X94" s="47"/>
      <c r="Y94" s="47"/>
      <c r="Z94" s="47"/>
    </row>
    <row r="95">
      <c r="B95" s="36">
        <v>2.0</v>
      </c>
      <c r="C95" s="37" t="s">
        <v>196</v>
      </c>
      <c r="D95" s="36" t="s">
        <v>197</v>
      </c>
      <c r="E95" s="39" t="s">
        <v>59</v>
      </c>
      <c r="F95" s="40" t="s">
        <v>198</v>
      </c>
    </row>
    <row r="96">
      <c r="B96" s="36">
        <v>3.0</v>
      </c>
      <c r="C96" s="37" t="s">
        <v>199</v>
      </c>
      <c r="D96" s="36" t="s">
        <v>51</v>
      </c>
      <c r="E96" s="42"/>
      <c r="F96" s="40" t="s">
        <v>200</v>
      </c>
    </row>
    <row r="97">
      <c r="B97" s="36">
        <v>4.0</v>
      </c>
      <c r="C97" s="37" t="s">
        <v>201</v>
      </c>
      <c r="D97" s="38" t="s">
        <v>202</v>
      </c>
      <c r="E97" s="39" t="s">
        <v>59</v>
      </c>
      <c r="F97" s="46"/>
    </row>
    <row r="98">
      <c r="A98" s="6"/>
      <c r="B98" s="36">
        <v>5.0</v>
      </c>
      <c r="C98" s="37" t="s">
        <v>203</v>
      </c>
      <c r="D98" s="36" t="s">
        <v>204</v>
      </c>
      <c r="E98" s="39" t="s">
        <v>40</v>
      </c>
      <c r="F98" s="49"/>
      <c r="G98" s="6"/>
      <c r="H98" s="6"/>
      <c r="I98" s="6"/>
      <c r="J98" s="6"/>
      <c r="K98" s="6"/>
      <c r="L98" s="6"/>
      <c r="M98" s="6"/>
      <c r="N98" s="6"/>
      <c r="O98" s="6"/>
      <c r="P98" s="6"/>
      <c r="Q98" s="6"/>
      <c r="R98" s="6"/>
      <c r="S98" s="6"/>
      <c r="T98" s="6"/>
      <c r="U98" s="6"/>
      <c r="V98" s="6"/>
      <c r="W98" s="6"/>
      <c r="X98" s="6"/>
      <c r="Y98" s="6"/>
      <c r="Z98" s="6"/>
    </row>
    <row r="99">
      <c r="A99" s="6"/>
      <c r="B99" s="36">
        <v>6.0</v>
      </c>
      <c r="C99" s="37" t="s">
        <v>205</v>
      </c>
      <c r="D99" s="36" t="s">
        <v>206</v>
      </c>
      <c r="E99" s="39" t="s">
        <v>59</v>
      </c>
      <c r="F99" s="40" t="s">
        <v>207</v>
      </c>
      <c r="G99" s="6"/>
      <c r="H99" s="6"/>
      <c r="I99" s="6"/>
      <c r="J99" s="6"/>
      <c r="K99" s="6"/>
      <c r="L99" s="6"/>
      <c r="M99" s="6"/>
      <c r="N99" s="6"/>
      <c r="O99" s="6"/>
      <c r="P99" s="6"/>
      <c r="Q99" s="6"/>
      <c r="R99" s="6"/>
      <c r="S99" s="6"/>
      <c r="T99" s="6"/>
      <c r="U99" s="6"/>
      <c r="V99" s="6"/>
      <c r="W99" s="6"/>
      <c r="X99" s="6"/>
      <c r="Y99" s="6"/>
      <c r="Z99" s="6"/>
    </row>
    <row r="100">
      <c r="A100" s="6"/>
      <c r="B100" s="36">
        <v>7.0</v>
      </c>
      <c r="C100" s="37" t="s">
        <v>208</v>
      </c>
      <c r="D100" s="36" t="s">
        <v>209</v>
      </c>
      <c r="E100" s="39" t="s">
        <v>40</v>
      </c>
      <c r="F100" s="50"/>
      <c r="G100" s="6"/>
      <c r="H100" s="6"/>
      <c r="I100" s="6"/>
      <c r="J100" s="6"/>
      <c r="K100" s="6"/>
      <c r="L100" s="6"/>
      <c r="M100" s="6"/>
      <c r="N100" s="6"/>
      <c r="O100" s="6"/>
      <c r="P100" s="6"/>
      <c r="Q100" s="6"/>
      <c r="R100" s="6"/>
      <c r="S100" s="6"/>
      <c r="T100" s="6"/>
      <c r="U100" s="6"/>
      <c r="V100" s="6"/>
      <c r="W100" s="6"/>
      <c r="X100" s="6"/>
      <c r="Y100" s="6"/>
      <c r="Z100" s="6"/>
    </row>
    <row r="101">
      <c r="A101" s="6"/>
      <c r="B101" s="36">
        <v>8.0</v>
      </c>
      <c r="C101" s="37" t="s">
        <v>210</v>
      </c>
      <c r="D101" s="36" t="s">
        <v>211</v>
      </c>
      <c r="E101" s="39" t="s">
        <v>40</v>
      </c>
      <c r="F101" s="50"/>
      <c r="G101" s="6"/>
      <c r="H101" s="6"/>
      <c r="I101" s="6"/>
      <c r="J101" s="6"/>
      <c r="K101" s="6"/>
      <c r="L101" s="6"/>
      <c r="M101" s="6"/>
      <c r="N101" s="6"/>
      <c r="O101" s="6"/>
      <c r="P101" s="6"/>
      <c r="Q101" s="6"/>
      <c r="R101" s="6"/>
      <c r="S101" s="6"/>
      <c r="T101" s="6"/>
      <c r="U101" s="6"/>
      <c r="V101" s="6"/>
      <c r="W101" s="6"/>
      <c r="X101" s="6"/>
      <c r="Y101" s="6"/>
      <c r="Z101" s="6"/>
    </row>
    <row r="102" ht="14.25" hidden="1" customHeight="1">
      <c r="B102" s="31" t="s">
        <v>212</v>
      </c>
      <c r="C102" s="32"/>
      <c r="D102" s="33"/>
      <c r="E102" s="34"/>
      <c r="F102" s="35"/>
    </row>
    <row r="103" ht="15.75" hidden="1" customHeight="1">
      <c r="B103" s="36">
        <v>1.0</v>
      </c>
      <c r="C103" s="37" t="s">
        <v>213</v>
      </c>
      <c r="D103" s="36" t="s">
        <v>214</v>
      </c>
      <c r="E103" s="42"/>
      <c r="F103" s="46"/>
    </row>
    <row r="104" ht="15.75" hidden="1" customHeight="1">
      <c r="B104" s="36">
        <v>2.0</v>
      </c>
      <c r="C104" s="37" t="s">
        <v>215</v>
      </c>
      <c r="D104" s="36" t="s">
        <v>216</v>
      </c>
      <c r="E104" s="42"/>
      <c r="F104" s="46"/>
    </row>
    <row r="105" ht="15.75" hidden="1" customHeight="1">
      <c r="B105" s="36">
        <v>3.0</v>
      </c>
      <c r="C105" s="37" t="s">
        <v>217</v>
      </c>
      <c r="D105" s="36" t="s">
        <v>218</v>
      </c>
      <c r="E105" s="42"/>
      <c r="F105" s="46"/>
    </row>
    <row r="106" ht="15.75" hidden="1" customHeight="1">
      <c r="B106" s="36">
        <v>4.0</v>
      </c>
      <c r="C106" s="37" t="s">
        <v>219</v>
      </c>
      <c r="D106" s="36" t="s">
        <v>220</v>
      </c>
      <c r="E106" s="42"/>
      <c r="F106" s="46"/>
    </row>
    <row r="107" ht="15.75" hidden="1" customHeight="1">
      <c r="B107" s="36">
        <v>5.0</v>
      </c>
      <c r="C107" s="37" t="s">
        <v>221</v>
      </c>
      <c r="D107" s="36" t="s">
        <v>222</v>
      </c>
      <c r="E107" s="42"/>
      <c r="F107" s="46"/>
    </row>
    <row r="108" ht="14.25" customHeight="1">
      <c r="B108" s="31" t="s">
        <v>223</v>
      </c>
      <c r="C108" s="32"/>
      <c r="D108" s="33"/>
      <c r="E108" s="34"/>
      <c r="F108" s="35"/>
    </row>
    <row r="109">
      <c r="B109" s="36">
        <v>1.0</v>
      </c>
      <c r="C109" s="37" t="s">
        <v>224</v>
      </c>
      <c r="D109" s="36" t="s">
        <v>225</v>
      </c>
      <c r="E109" s="39" t="s">
        <v>59</v>
      </c>
      <c r="F109" s="40" t="s">
        <v>226</v>
      </c>
    </row>
    <row r="110">
      <c r="B110" s="36">
        <v>2.0</v>
      </c>
      <c r="C110" s="37" t="s">
        <v>227</v>
      </c>
      <c r="D110" s="36" t="s">
        <v>228</v>
      </c>
      <c r="E110" s="39" t="s">
        <v>59</v>
      </c>
      <c r="F110" s="40" t="s">
        <v>229</v>
      </c>
    </row>
    <row r="111">
      <c r="B111" s="36">
        <v>3.0</v>
      </c>
      <c r="C111" s="37" t="s">
        <v>230</v>
      </c>
      <c r="D111" s="36" t="s">
        <v>231</v>
      </c>
      <c r="E111" s="39" t="s">
        <v>59</v>
      </c>
      <c r="F111" s="51" t="s">
        <v>232</v>
      </c>
    </row>
    <row r="112">
      <c r="B112" s="36">
        <v>4.0</v>
      </c>
      <c r="C112" s="37" t="s">
        <v>233</v>
      </c>
      <c r="D112" s="36" t="s">
        <v>234</v>
      </c>
      <c r="E112" s="39" t="s">
        <v>59</v>
      </c>
      <c r="F112" s="40" t="s">
        <v>235</v>
      </c>
    </row>
    <row r="113">
      <c r="B113" s="36">
        <v>5.0</v>
      </c>
      <c r="C113" s="37" t="s">
        <v>236</v>
      </c>
      <c r="D113" s="36" t="s">
        <v>237</v>
      </c>
      <c r="E113" s="39" t="s">
        <v>59</v>
      </c>
      <c r="F113" s="45" t="s">
        <v>238</v>
      </c>
    </row>
    <row r="114">
      <c r="B114" s="36">
        <v>6.0</v>
      </c>
      <c r="C114" s="37" t="s">
        <v>239</v>
      </c>
      <c r="D114" s="36" t="s">
        <v>240</v>
      </c>
      <c r="E114" s="39" t="s">
        <v>40</v>
      </c>
      <c r="F114" s="46"/>
    </row>
    <row r="115">
      <c r="B115" s="36">
        <v>7.0</v>
      </c>
      <c r="C115" s="37" t="s">
        <v>241</v>
      </c>
      <c r="D115" s="36" t="s">
        <v>242</v>
      </c>
      <c r="E115" s="39" t="s">
        <v>44</v>
      </c>
      <c r="F115" s="40" t="s">
        <v>243</v>
      </c>
    </row>
    <row r="116">
      <c r="B116" s="36">
        <v>8.0</v>
      </c>
      <c r="C116" s="37" t="s">
        <v>217</v>
      </c>
      <c r="D116" s="36" t="s">
        <v>244</v>
      </c>
      <c r="E116" s="39" t="s">
        <v>48</v>
      </c>
      <c r="F116" s="46"/>
    </row>
    <row r="117">
      <c r="B117" s="36">
        <v>9.0</v>
      </c>
      <c r="C117" s="37" t="s">
        <v>219</v>
      </c>
      <c r="D117" s="36" t="s">
        <v>245</v>
      </c>
      <c r="E117" s="39" t="s">
        <v>40</v>
      </c>
      <c r="F117" s="46"/>
    </row>
    <row r="118" ht="15.75" customHeight="1">
      <c r="B118" s="8"/>
      <c r="C118" s="9"/>
      <c r="D118" s="6"/>
      <c r="E118" s="10"/>
      <c r="F118" s="6"/>
    </row>
    <row r="119" ht="15.75" customHeight="1">
      <c r="B119" s="8"/>
      <c r="C119" s="9"/>
      <c r="D119" s="6"/>
      <c r="E119" s="10"/>
      <c r="F119" s="6"/>
    </row>
    <row r="120" ht="15.75" customHeight="1">
      <c r="B120" s="8"/>
      <c r="C120" s="9"/>
      <c r="D120" s="6"/>
      <c r="E120" s="10"/>
      <c r="F120" s="6"/>
    </row>
    <row r="121" ht="15.75" customHeight="1">
      <c r="B121" s="8"/>
      <c r="C121" s="9"/>
      <c r="D121" s="6"/>
      <c r="E121" s="10"/>
      <c r="F121" s="6"/>
    </row>
    <row r="122" ht="15.75" customHeight="1">
      <c r="B122" s="8"/>
      <c r="C122" s="9"/>
      <c r="D122" s="6"/>
      <c r="E122" s="10"/>
      <c r="F122" s="6"/>
    </row>
    <row r="123" ht="15.75" customHeight="1">
      <c r="B123" s="8"/>
      <c r="C123" s="9"/>
      <c r="D123" s="6"/>
      <c r="E123" s="10"/>
      <c r="F123" s="6"/>
    </row>
    <row r="124" ht="15.75" customHeight="1">
      <c r="B124" s="8"/>
      <c r="C124" s="9"/>
      <c r="D124" s="6"/>
      <c r="E124" s="10"/>
      <c r="F124" s="6"/>
    </row>
    <row r="125" ht="15.75" customHeight="1">
      <c r="B125" s="8"/>
      <c r="C125" s="9"/>
      <c r="D125" s="6"/>
      <c r="E125" s="10"/>
      <c r="F125" s="6"/>
    </row>
    <row r="126" ht="15.75" customHeight="1">
      <c r="B126" s="8"/>
      <c r="C126" s="9"/>
      <c r="D126" s="6"/>
      <c r="E126" s="10"/>
      <c r="F126" s="6"/>
    </row>
    <row r="127" ht="15.75" customHeight="1">
      <c r="B127" s="8"/>
      <c r="C127" s="9"/>
      <c r="D127" s="6"/>
      <c r="E127" s="10"/>
      <c r="F127" s="6"/>
    </row>
    <row r="128" ht="15.75" customHeight="1">
      <c r="B128" s="8"/>
      <c r="C128" s="9"/>
      <c r="D128" s="6"/>
      <c r="E128" s="10"/>
      <c r="F128" s="6"/>
    </row>
    <row r="129" ht="15.75" customHeight="1">
      <c r="B129" s="8"/>
      <c r="C129" s="9"/>
      <c r="D129" s="6"/>
      <c r="E129" s="10"/>
      <c r="F129" s="6"/>
    </row>
    <row r="130" ht="15.75" customHeight="1">
      <c r="B130" s="8"/>
      <c r="C130" s="9"/>
      <c r="D130" s="6"/>
      <c r="E130" s="10"/>
      <c r="F130" s="6"/>
    </row>
    <row r="131" ht="15.75" customHeight="1">
      <c r="B131" s="8"/>
      <c r="C131" s="9"/>
      <c r="D131" s="6"/>
      <c r="E131" s="10"/>
      <c r="F131" s="6"/>
    </row>
    <row r="132" ht="15.75" customHeight="1">
      <c r="B132" s="8"/>
      <c r="C132" s="9"/>
      <c r="D132" s="6"/>
      <c r="E132" s="10"/>
      <c r="F132" s="6"/>
    </row>
    <row r="133" ht="15.75" customHeight="1">
      <c r="B133" s="8"/>
      <c r="C133" s="9"/>
      <c r="D133" s="6"/>
      <c r="E133" s="10"/>
      <c r="F133" s="6"/>
    </row>
    <row r="134" ht="15.75" customHeight="1">
      <c r="B134" s="8"/>
      <c r="C134" s="9"/>
      <c r="D134" s="6"/>
      <c r="E134" s="10"/>
      <c r="F134" s="6"/>
    </row>
    <row r="135" ht="15.75" customHeight="1">
      <c r="B135" s="8"/>
      <c r="C135" s="9"/>
      <c r="D135" s="6"/>
      <c r="E135" s="10"/>
      <c r="F135" s="6"/>
    </row>
    <row r="136" ht="15.75" customHeight="1">
      <c r="B136" s="8"/>
      <c r="C136" s="9"/>
      <c r="D136" s="6"/>
      <c r="E136" s="10"/>
      <c r="F136" s="6"/>
    </row>
    <row r="137" ht="15.75" customHeight="1">
      <c r="B137" s="8"/>
      <c r="C137" s="9"/>
      <c r="D137" s="6"/>
      <c r="E137" s="10"/>
      <c r="F137" s="6"/>
    </row>
    <row r="138" ht="15.75" customHeight="1">
      <c r="B138" s="8"/>
      <c r="C138" s="9"/>
      <c r="D138" s="6"/>
      <c r="E138" s="10"/>
      <c r="F138" s="6"/>
    </row>
    <row r="139" ht="15.75" customHeight="1">
      <c r="B139" s="8"/>
      <c r="C139" s="9"/>
      <c r="D139" s="6"/>
      <c r="E139" s="10"/>
      <c r="F139" s="6"/>
    </row>
    <row r="140" ht="15.75" customHeight="1">
      <c r="B140" s="8"/>
      <c r="C140" s="9"/>
      <c r="D140" s="6"/>
      <c r="E140" s="10"/>
      <c r="F140" s="6"/>
    </row>
    <row r="141" ht="15.75" customHeight="1">
      <c r="B141" s="8"/>
      <c r="C141" s="9"/>
      <c r="D141" s="6"/>
      <c r="E141" s="10"/>
      <c r="F141" s="6"/>
    </row>
    <row r="142" ht="15.75" customHeight="1">
      <c r="B142" s="8"/>
      <c r="C142" s="9"/>
      <c r="D142" s="6"/>
      <c r="E142" s="10"/>
      <c r="F142" s="6"/>
    </row>
    <row r="143" ht="15.75" customHeight="1">
      <c r="B143" s="8"/>
      <c r="C143" s="9"/>
      <c r="D143" s="6"/>
      <c r="E143" s="10"/>
      <c r="F143" s="6"/>
    </row>
    <row r="144" ht="15.75" customHeight="1">
      <c r="B144" s="8"/>
      <c r="C144" s="9"/>
      <c r="D144" s="6"/>
      <c r="E144" s="10"/>
      <c r="F144" s="6"/>
    </row>
    <row r="145" ht="15.75" customHeight="1">
      <c r="B145" s="8"/>
      <c r="C145" s="9"/>
      <c r="D145" s="6"/>
      <c r="E145" s="10"/>
      <c r="F145" s="6"/>
    </row>
    <row r="146" ht="15.75" customHeight="1">
      <c r="B146" s="8"/>
      <c r="C146" s="9"/>
      <c r="D146" s="6"/>
      <c r="E146" s="10"/>
      <c r="F146" s="6"/>
    </row>
    <row r="147" ht="15.75" customHeight="1">
      <c r="B147" s="8"/>
      <c r="C147" s="9"/>
      <c r="D147" s="6"/>
      <c r="E147" s="10"/>
      <c r="F147" s="6"/>
    </row>
    <row r="148" ht="15.75" customHeight="1">
      <c r="B148" s="8"/>
      <c r="C148" s="9"/>
      <c r="D148" s="6"/>
      <c r="E148" s="10"/>
      <c r="F148" s="6"/>
    </row>
    <row r="149" ht="15.75" customHeight="1">
      <c r="B149" s="8"/>
      <c r="C149" s="9"/>
      <c r="D149" s="6"/>
      <c r="E149" s="10"/>
      <c r="F149" s="6"/>
    </row>
    <row r="150" ht="15.75" customHeight="1">
      <c r="B150" s="8"/>
      <c r="C150" s="9"/>
      <c r="D150" s="6"/>
      <c r="E150" s="10"/>
      <c r="F150" s="6"/>
    </row>
    <row r="151" ht="15.75" customHeight="1">
      <c r="B151" s="8"/>
      <c r="C151" s="9"/>
      <c r="D151" s="6"/>
      <c r="E151" s="10"/>
      <c r="F151" s="6"/>
    </row>
    <row r="152" ht="15.75" customHeight="1">
      <c r="B152" s="8"/>
      <c r="C152" s="9"/>
      <c r="D152" s="6"/>
      <c r="E152" s="10"/>
      <c r="F152" s="6"/>
    </row>
    <row r="153" ht="15.75" customHeight="1">
      <c r="B153" s="8"/>
      <c r="C153" s="9"/>
      <c r="D153" s="6"/>
      <c r="E153" s="10"/>
      <c r="F153" s="6"/>
    </row>
    <row r="154" ht="15.75" customHeight="1">
      <c r="B154" s="8"/>
      <c r="C154" s="9"/>
      <c r="D154" s="6"/>
      <c r="E154" s="10"/>
      <c r="F154" s="6"/>
    </row>
    <row r="155" ht="15.75" customHeight="1">
      <c r="B155" s="8"/>
      <c r="C155" s="9"/>
      <c r="D155" s="6"/>
      <c r="E155" s="10"/>
      <c r="F155" s="6"/>
    </row>
    <row r="156" ht="15.75" customHeight="1">
      <c r="B156" s="8"/>
      <c r="C156" s="9"/>
      <c r="D156" s="6"/>
      <c r="E156" s="10"/>
      <c r="F156" s="6"/>
    </row>
    <row r="157" ht="15.75" customHeight="1">
      <c r="B157" s="8"/>
      <c r="C157" s="9"/>
      <c r="D157" s="6"/>
      <c r="E157" s="10"/>
      <c r="F157" s="6"/>
    </row>
    <row r="158" ht="15.75" customHeight="1">
      <c r="B158" s="8"/>
      <c r="C158" s="9"/>
      <c r="D158" s="6"/>
      <c r="E158" s="10"/>
      <c r="F158" s="6"/>
    </row>
    <row r="159" ht="15.75" customHeight="1">
      <c r="B159" s="8"/>
      <c r="C159" s="9"/>
      <c r="D159" s="6"/>
      <c r="E159" s="10"/>
      <c r="F159" s="6"/>
    </row>
    <row r="160" ht="15.75" customHeight="1">
      <c r="B160" s="8"/>
      <c r="C160" s="9"/>
      <c r="D160" s="6"/>
      <c r="E160" s="10"/>
      <c r="F160" s="6"/>
    </row>
    <row r="161" ht="15.75" customHeight="1">
      <c r="B161" s="8"/>
      <c r="C161" s="9"/>
      <c r="D161" s="6"/>
      <c r="E161" s="10"/>
      <c r="F161" s="6"/>
    </row>
    <row r="162" ht="15.75" customHeight="1">
      <c r="B162" s="8"/>
      <c r="C162" s="9"/>
      <c r="D162" s="6"/>
      <c r="E162" s="10"/>
      <c r="F162" s="6"/>
    </row>
    <row r="163" ht="15.75" customHeight="1">
      <c r="B163" s="8"/>
      <c r="C163" s="9"/>
      <c r="D163" s="6"/>
      <c r="E163" s="10"/>
      <c r="F163" s="6"/>
    </row>
    <row r="164" ht="15.75" customHeight="1">
      <c r="B164" s="8"/>
      <c r="C164" s="9"/>
      <c r="D164" s="6"/>
      <c r="E164" s="10"/>
      <c r="F164" s="6"/>
    </row>
    <row r="165" ht="15.75" customHeight="1">
      <c r="B165" s="8"/>
      <c r="C165" s="9"/>
      <c r="D165" s="6"/>
      <c r="E165" s="10"/>
      <c r="F165" s="6"/>
    </row>
    <row r="166" ht="15.75" customHeight="1">
      <c r="B166" s="8"/>
      <c r="C166" s="9"/>
      <c r="D166" s="6"/>
      <c r="E166" s="10"/>
      <c r="F166" s="6"/>
    </row>
    <row r="167" ht="15.75" customHeight="1">
      <c r="B167" s="8"/>
      <c r="C167" s="9"/>
      <c r="D167" s="6"/>
      <c r="E167" s="10"/>
      <c r="F167" s="6"/>
    </row>
    <row r="168" ht="15.75" customHeight="1">
      <c r="B168" s="8"/>
      <c r="C168" s="9"/>
      <c r="D168" s="6"/>
      <c r="E168" s="10"/>
      <c r="F168" s="6"/>
    </row>
    <row r="169" ht="15.75" customHeight="1">
      <c r="B169" s="8"/>
      <c r="C169" s="9"/>
      <c r="D169" s="6"/>
      <c r="E169" s="10"/>
      <c r="F169" s="6"/>
    </row>
    <row r="170" ht="15.75" customHeight="1">
      <c r="B170" s="8"/>
      <c r="C170" s="9"/>
      <c r="D170" s="6"/>
      <c r="E170" s="10"/>
      <c r="F170" s="6"/>
    </row>
    <row r="171" ht="15.75" customHeight="1">
      <c r="B171" s="8"/>
      <c r="C171" s="9"/>
      <c r="D171" s="6"/>
      <c r="E171" s="10"/>
      <c r="F171" s="6"/>
    </row>
    <row r="172" ht="15.75" customHeight="1">
      <c r="B172" s="8"/>
      <c r="C172" s="9"/>
      <c r="D172" s="6"/>
      <c r="E172" s="10"/>
      <c r="F172" s="6"/>
    </row>
    <row r="173" ht="15.75" customHeight="1">
      <c r="B173" s="8"/>
      <c r="C173" s="9"/>
      <c r="D173" s="6"/>
      <c r="E173" s="10"/>
      <c r="F173" s="6"/>
    </row>
    <row r="174" ht="15.75" customHeight="1">
      <c r="B174" s="8"/>
      <c r="C174" s="9"/>
      <c r="D174" s="6"/>
      <c r="E174" s="10"/>
      <c r="F174" s="6"/>
    </row>
    <row r="175" ht="15.75" customHeight="1">
      <c r="B175" s="8"/>
      <c r="C175" s="9"/>
      <c r="D175" s="6"/>
      <c r="E175" s="10"/>
      <c r="F175" s="6"/>
    </row>
    <row r="176" ht="15.75" customHeight="1">
      <c r="B176" s="8"/>
      <c r="C176" s="9"/>
      <c r="D176" s="6"/>
      <c r="E176" s="10"/>
      <c r="F176" s="6"/>
    </row>
    <row r="177" ht="15.75" customHeight="1">
      <c r="B177" s="8"/>
      <c r="C177" s="9"/>
      <c r="D177" s="6"/>
      <c r="E177" s="10"/>
      <c r="F177" s="6"/>
    </row>
    <row r="178" ht="15.75" customHeight="1">
      <c r="B178" s="8"/>
      <c r="C178" s="9"/>
      <c r="D178" s="6"/>
      <c r="E178" s="10"/>
      <c r="F178" s="6"/>
    </row>
    <row r="179" ht="15.75" customHeight="1">
      <c r="B179" s="8"/>
      <c r="C179" s="9"/>
      <c r="D179" s="6"/>
      <c r="E179" s="10"/>
      <c r="F179" s="6"/>
    </row>
    <row r="180" ht="15.75" customHeight="1">
      <c r="B180" s="8"/>
      <c r="C180" s="9"/>
      <c r="D180" s="6"/>
      <c r="E180" s="10"/>
      <c r="F180" s="6"/>
    </row>
    <row r="181" ht="15.75" customHeight="1">
      <c r="B181" s="8"/>
      <c r="C181" s="9"/>
      <c r="D181" s="6"/>
      <c r="E181" s="10"/>
      <c r="F181" s="6"/>
    </row>
    <row r="182" ht="15.75" customHeight="1">
      <c r="B182" s="8"/>
      <c r="C182" s="9"/>
      <c r="D182" s="6"/>
      <c r="E182" s="10"/>
      <c r="F182" s="6"/>
    </row>
    <row r="183" ht="15.75" customHeight="1">
      <c r="B183" s="8"/>
      <c r="C183" s="9"/>
      <c r="D183" s="6"/>
      <c r="E183" s="10"/>
      <c r="F183" s="6"/>
    </row>
    <row r="184" ht="15.75" customHeight="1">
      <c r="B184" s="8"/>
      <c r="C184" s="9"/>
      <c r="D184" s="6"/>
      <c r="E184" s="10"/>
      <c r="F184" s="6"/>
    </row>
    <row r="185" ht="15.75" customHeight="1">
      <c r="B185" s="8"/>
      <c r="C185" s="9"/>
      <c r="D185" s="6"/>
      <c r="E185" s="10"/>
      <c r="F185" s="6"/>
    </row>
    <row r="186" ht="15.75" customHeight="1">
      <c r="B186" s="8"/>
      <c r="C186" s="9"/>
      <c r="D186" s="6"/>
      <c r="E186" s="10"/>
      <c r="F186" s="6"/>
    </row>
    <row r="187" ht="15.75" customHeight="1">
      <c r="B187" s="8"/>
      <c r="C187" s="9"/>
      <c r="D187" s="6"/>
      <c r="E187" s="10"/>
      <c r="F187" s="6"/>
    </row>
    <row r="188" ht="15.75" customHeight="1">
      <c r="B188" s="8"/>
      <c r="C188" s="9"/>
      <c r="D188" s="6"/>
      <c r="E188" s="10"/>
      <c r="F188" s="6"/>
    </row>
    <row r="189" ht="15.75" customHeight="1">
      <c r="B189" s="8"/>
      <c r="C189" s="9"/>
      <c r="D189" s="6"/>
      <c r="E189" s="10"/>
      <c r="F189" s="6"/>
    </row>
    <row r="190" ht="15.75" customHeight="1">
      <c r="B190" s="8"/>
      <c r="C190" s="9"/>
      <c r="D190" s="6"/>
      <c r="E190" s="10"/>
      <c r="F190" s="6"/>
    </row>
    <row r="191" ht="15.75" customHeight="1">
      <c r="B191" s="8"/>
      <c r="C191" s="9"/>
      <c r="D191" s="6"/>
      <c r="E191" s="10"/>
      <c r="F191" s="6"/>
    </row>
    <row r="192" ht="15.75" customHeight="1">
      <c r="B192" s="8"/>
      <c r="C192" s="9"/>
      <c r="D192" s="6"/>
      <c r="E192" s="10"/>
      <c r="F192" s="6"/>
    </row>
    <row r="193" ht="15.75" customHeight="1">
      <c r="B193" s="8"/>
      <c r="C193" s="9"/>
      <c r="D193" s="6"/>
      <c r="E193" s="10"/>
      <c r="F193" s="6"/>
    </row>
    <row r="194" ht="15.75" customHeight="1">
      <c r="B194" s="8"/>
      <c r="C194" s="9"/>
      <c r="D194" s="6"/>
      <c r="E194" s="10"/>
      <c r="F194" s="6"/>
    </row>
    <row r="195" ht="15.75" customHeight="1">
      <c r="B195" s="8"/>
      <c r="C195" s="9"/>
      <c r="D195" s="6"/>
      <c r="E195" s="10"/>
      <c r="F195" s="6"/>
    </row>
    <row r="196" ht="15.75" customHeight="1">
      <c r="B196" s="8"/>
      <c r="C196" s="9"/>
      <c r="D196" s="6"/>
      <c r="E196" s="10"/>
      <c r="F196" s="6"/>
    </row>
    <row r="197" ht="15.75" customHeight="1">
      <c r="B197" s="8"/>
      <c r="C197" s="9"/>
      <c r="D197" s="6"/>
      <c r="E197" s="10"/>
      <c r="F197" s="6"/>
    </row>
    <row r="198" ht="15.75" customHeight="1">
      <c r="B198" s="8"/>
      <c r="C198" s="9"/>
      <c r="D198" s="6"/>
      <c r="E198" s="10"/>
      <c r="F198" s="6"/>
    </row>
    <row r="199" ht="15.75" customHeight="1">
      <c r="B199" s="8"/>
      <c r="C199" s="9"/>
      <c r="D199" s="6"/>
      <c r="E199" s="10"/>
      <c r="F199" s="6"/>
    </row>
    <row r="200" ht="15.75" customHeight="1">
      <c r="B200" s="8"/>
      <c r="C200" s="9"/>
      <c r="D200" s="6"/>
      <c r="E200" s="10"/>
      <c r="F200" s="6"/>
    </row>
    <row r="201" ht="15.75" customHeight="1">
      <c r="B201" s="8"/>
      <c r="C201" s="9"/>
      <c r="D201" s="6"/>
      <c r="E201" s="10"/>
      <c r="F201" s="6"/>
    </row>
    <row r="202" ht="15.75" customHeight="1">
      <c r="B202" s="8"/>
      <c r="C202" s="9"/>
      <c r="D202" s="6"/>
      <c r="E202" s="10"/>
      <c r="F202" s="6"/>
    </row>
    <row r="203" ht="15.75" customHeight="1">
      <c r="B203" s="8"/>
      <c r="C203" s="9"/>
      <c r="D203" s="6"/>
      <c r="E203" s="10"/>
      <c r="F203" s="6"/>
    </row>
    <row r="204" ht="15.75" customHeight="1">
      <c r="B204" s="8"/>
      <c r="C204" s="9"/>
      <c r="D204" s="6"/>
      <c r="E204" s="10"/>
      <c r="F204" s="6"/>
    </row>
    <row r="205" ht="15.75" customHeight="1">
      <c r="B205" s="8"/>
      <c r="C205" s="9"/>
      <c r="D205" s="6"/>
      <c r="E205" s="10"/>
      <c r="F205" s="6"/>
    </row>
    <row r="206" ht="15.75" customHeight="1">
      <c r="B206" s="8"/>
      <c r="C206" s="9"/>
      <c r="D206" s="6"/>
      <c r="E206" s="10"/>
      <c r="F206" s="6"/>
    </row>
    <row r="207" ht="15.75" customHeight="1">
      <c r="B207" s="8"/>
      <c r="C207" s="9"/>
      <c r="D207" s="6"/>
      <c r="E207" s="10"/>
      <c r="F207" s="6"/>
    </row>
    <row r="208" ht="15.75" customHeight="1">
      <c r="B208" s="8"/>
      <c r="C208" s="9"/>
      <c r="D208" s="6"/>
      <c r="E208" s="10"/>
      <c r="F208" s="6"/>
    </row>
    <row r="209" ht="15.75" customHeight="1">
      <c r="B209" s="8"/>
      <c r="C209" s="9"/>
      <c r="D209" s="6"/>
      <c r="E209" s="10"/>
      <c r="F209" s="6"/>
    </row>
    <row r="210" ht="15.75" customHeight="1">
      <c r="B210" s="8"/>
      <c r="C210" s="9"/>
      <c r="D210" s="6"/>
      <c r="E210" s="10"/>
      <c r="F210" s="6"/>
    </row>
    <row r="211" ht="15.75" customHeight="1">
      <c r="B211" s="8"/>
      <c r="C211" s="9"/>
      <c r="D211" s="6"/>
      <c r="E211" s="10"/>
      <c r="F211" s="6"/>
    </row>
    <row r="212" ht="15.75" customHeight="1">
      <c r="B212" s="8"/>
      <c r="C212" s="9"/>
      <c r="D212" s="6"/>
      <c r="E212" s="10"/>
      <c r="F212" s="6"/>
    </row>
    <row r="213" ht="15.75" customHeight="1">
      <c r="B213" s="8"/>
      <c r="C213" s="9"/>
      <c r="D213" s="6"/>
      <c r="E213" s="10"/>
      <c r="F213" s="6"/>
    </row>
    <row r="214" ht="15.75" customHeight="1">
      <c r="B214" s="8"/>
      <c r="C214" s="9"/>
      <c r="D214" s="6"/>
      <c r="E214" s="10"/>
      <c r="F214" s="6"/>
    </row>
    <row r="215" ht="15.75" customHeight="1">
      <c r="B215" s="8"/>
      <c r="C215" s="9"/>
      <c r="D215" s="6"/>
      <c r="E215" s="10"/>
      <c r="F215" s="6"/>
    </row>
    <row r="216" ht="15.75" customHeight="1">
      <c r="B216" s="8"/>
      <c r="C216" s="9"/>
      <c r="D216" s="6"/>
      <c r="E216" s="10"/>
      <c r="F216" s="6"/>
    </row>
    <row r="217" ht="15.75" customHeight="1">
      <c r="B217" s="8"/>
      <c r="C217" s="9"/>
      <c r="D217" s="6"/>
      <c r="E217" s="10"/>
      <c r="F217" s="6"/>
    </row>
    <row r="218" ht="15.75" customHeight="1">
      <c r="B218" s="8"/>
      <c r="C218" s="9"/>
      <c r="D218" s="6"/>
      <c r="E218" s="10"/>
      <c r="F218" s="6"/>
    </row>
    <row r="219" ht="15.75" customHeight="1">
      <c r="B219" s="8"/>
      <c r="C219" s="9"/>
      <c r="D219" s="6"/>
      <c r="E219" s="10"/>
      <c r="F219" s="6"/>
    </row>
    <row r="220" ht="15.75" customHeight="1">
      <c r="B220" s="8"/>
      <c r="C220" s="9"/>
      <c r="D220" s="6"/>
      <c r="E220" s="10"/>
      <c r="F220" s="6"/>
    </row>
    <row r="221" ht="15.75" customHeight="1">
      <c r="B221" s="8"/>
      <c r="C221" s="9"/>
      <c r="D221" s="6"/>
      <c r="E221" s="10"/>
      <c r="F221" s="6"/>
    </row>
    <row r="222" ht="15.75" customHeight="1">
      <c r="B222" s="8"/>
      <c r="C222" s="9"/>
      <c r="D222" s="6"/>
      <c r="E222" s="10"/>
      <c r="F222" s="6"/>
    </row>
    <row r="223" ht="15.75" customHeight="1">
      <c r="B223" s="8"/>
      <c r="C223" s="9"/>
      <c r="D223" s="6"/>
      <c r="E223" s="10"/>
      <c r="F223" s="6"/>
    </row>
    <row r="224" ht="15.75" customHeight="1">
      <c r="B224" s="8"/>
      <c r="C224" s="9"/>
      <c r="D224" s="6"/>
      <c r="E224" s="10"/>
      <c r="F224" s="6"/>
    </row>
    <row r="225" ht="15.75" customHeight="1">
      <c r="B225" s="8"/>
      <c r="C225" s="9"/>
      <c r="D225" s="6"/>
      <c r="E225" s="10"/>
      <c r="F225" s="6"/>
    </row>
    <row r="226" ht="15.75" customHeight="1">
      <c r="B226" s="8"/>
      <c r="C226" s="9"/>
      <c r="D226" s="6"/>
      <c r="E226" s="10"/>
      <c r="F226" s="6"/>
    </row>
    <row r="227" ht="15.75" customHeight="1">
      <c r="B227" s="8"/>
      <c r="C227" s="9"/>
      <c r="D227" s="6"/>
      <c r="E227" s="10"/>
      <c r="F227" s="6"/>
    </row>
    <row r="228" ht="15.75" customHeight="1">
      <c r="B228" s="8"/>
      <c r="C228" s="9"/>
      <c r="D228" s="6"/>
      <c r="E228" s="10"/>
      <c r="F228" s="6"/>
    </row>
    <row r="229" ht="15.75" customHeight="1">
      <c r="B229" s="8"/>
      <c r="C229" s="9"/>
      <c r="D229" s="6"/>
      <c r="E229" s="10"/>
      <c r="F229" s="6"/>
    </row>
    <row r="230" ht="15.75" customHeight="1">
      <c r="B230" s="8"/>
      <c r="C230" s="9"/>
      <c r="D230" s="6"/>
      <c r="E230" s="10"/>
      <c r="F230" s="6"/>
    </row>
    <row r="231" ht="15.75" customHeight="1">
      <c r="B231" s="8"/>
      <c r="C231" s="9"/>
      <c r="D231" s="6"/>
      <c r="E231" s="10"/>
      <c r="F231" s="6"/>
    </row>
    <row r="232" ht="15.75" customHeight="1">
      <c r="B232" s="8"/>
      <c r="C232" s="9"/>
      <c r="D232" s="6"/>
      <c r="E232" s="10"/>
      <c r="F232" s="6"/>
    </row>
    <row r="233" ht="15.75" customHeight="1">
      <c r="B233" s="8"/>
      <c r="C233" s="9"/>
      <c r="D233" s="6"/>
      <c r="E233" s="10"/>
      <c r="F233" s="6"/>
    </row>
    <row r="234" ht="15.75" customHeight="1">
      <c r="B234" s="8"/>
      <c r="C234" s="9"/>
      <c r="D234" s="6"/>
      <c r="E234" s="10"/>
      <c r="F234" s="6"/>
    </row>
    <row r="235" ht="15.75" customHeight="1">
      <c r="B235" s="8"/>
      <c r="C235" s="9"/>
      <c r="D235" s="6"/>
      <c r="E235" s="10"/>
      <c r="F235" s="6"/>
    </row>
    <row r="236" ht="15.75" customHeight="1">
      <c r="B236" s="8"/>
      <c r="C236" s="9"/>
      <c r="D236" s="6"/>
      <c r="E236" s="10"/>
      <c r="F236" s="6"/>
    </row>
    <row r="237" ht="15.75" customHeight="1">
      <c r="B237" s="8"/>
      <c r="C237" s="9"/>
      <c r="D237" s="6"/>
      <c r="E237" s="10"/>
      <c r="F237" s="6"/>
    </row>
    <row r="238" ht="15.75" customHeight="1">
      <c r="B238" s="8"/>
      <c r="C238" s="9"/>
      <c r="D238" s="6"/>
      <c r="E238" s="10"/>
      <c r="F238" s="6"/>
    </row>
    <row r="239" ht="15.75" customHeight="1">
      <c r="B239" s="8"/>
      <c r="C239" s="9"/>
      <c r="D239" s="6"/>
      <c r="E239" s="10"/>
      <c r="F239" s="6"/>
    </row>
    <row r="240" ht="15.75" customHeight="1">
      <c r="B240" s="8"/>
      <c r="C240" s="9"/>
      <c r="D240" s="6"/>
      <c r="E240" s="10"/>
      <c r="F240" s="6"/>
    </row>
    <row r="241" ht="15.75" customHeight="1">
      <c r="B241" s="8"/>
      <c r="C241" s="9"/>
      <c r="D241" s="6"/>
      <c r="E241" s="10"/>
      <c r="F241" s="6"/>
    </row>
    <row r="242" ht="15.75" customHeight="1">
      <c r="B242" s="8"/>
      <c r="C242" s="9"/>
      <c r="D242" s="6"/>
      <c r="E242" s="10"/>
      <c r="F242" s="6"/>
    </row>
    <row r="243" ht="15.75" customHeight="1">
      <c r="B243" s="8"/>
      <c r="C243" s="9"/>
      <c r="D243" s="6"/>
      <c r="E243" s="10"/>
      <c r="F243" s="6"/>
    </row>
    <row r="244" ht="15.75" customHeight="1">
      <c r="B244" s="8"/>
      <c r="C244" s="9"/>
      <c r="D244" s="6"/>
      <c r="E244" s="10"/>
      <c r="F244" s="6"/>
    </row>
    <row r="245" ht="15.75" customHeight="1">
      <c r="B245" s="8"/>
      <c r="C245" s="9"/>
      <c r="D245" s="6"/>
      <c r="E245" s="10"/>
      <c r="F245" s="6"/>
    </row>
    <row r="246" ht="15.75" customHeight="1">
      <c r="B246" s="8"/>
      <c r="C246" s="9"/>
      <c r="D246" s="6"/>
      <c r="E246" s="10"/>
      <c r="F246" s="6"/>
    </row>
    <row r="247" ht="15.75" customHeight="1">
      <c r="B247" s="8"/>
      <c r="C247" s="9"/>
      <c r="D247" s="6"/>
      <c r="E247" s="10"/>
      <c r="F247" s="6"/>
    </row>
    <row r="248" ht="15.75" customHeight="1">
      <c r="B248" s="8"/>
      <c r="C248" s="9"/>
      <c r="D248" s="6"/>
      <c r="E248" s="10"/>
      <c r="F248" s="6"/>
    </row>
    <row r="249" ht="15.75" customHeight="1">
      <c r="B249" s="8"/>
      <c r="C249" s="9"/>
      <c r="D249" s="6"/>
      <c r="E249" s="10"/>
      <c r="F249" s="6"/>
    </row>
    <row r="250" ht="15.75" customHeight="1">
      <c r="B250" s="8"/>
      <c r="C250" s="9"/>
      <c r="D250" s="6"/>
      <c r="E250" s="10"/>
      <c r="F250" s="6"/>
    </row>
    <row r="251" ht="15.75" customHeight="1">
      <c r="B251" s="8"/>
      <c r="C251" s="9"/>
      <c r="D251" s="6"/>
      <c r="E251" s="10"/>
      <c r="F251" s="6"/>
    </row>
    <row r="252" ht="15.75" customHeight="1">
      <c r="B252" s="8"/>
      <c r="C252" s="9"/>
      <c r="D252" s="6"/>
      <c r="E252" s="10"/>
      <c r="F252" s="6"/>
    </row>
    <row r="253" ht="15.75" customHeight="1">
      <c r="B253" s="8"/>
      <c r="C253" s="9"/>
      <c r="D253" s="6"/>
      <c r="E253" s="10"/>
      <c r="F253" s="6"/>
    </row>
    <row r="254" ht="15.75" customHeight="1">
      <c r="B254" s="8"/>
      <c r="C254" s="9"/>
      <c r="D254" s="6"/>
      <c r="E254" s="10"/>
      <c r="F254" s="6"/>
    </row>
    <row r="255" ht="15.75" customHeight="1">
      <c r="B255" s="8"/>
      <c r="C255" s="9"/>
      <c r="D255" s="6"/>
      <c r="E255" s="10"/>
      <c r="F255" s="6"/>
    </row>
    <row r="256" ht="15.75" customHeight="1">
      <c r="B256" s="8"/>
      <c r="C256" s="9"/>
      <c r="D256" s="6"/>
      <c r="E256" s="10"/>
      <c r="F256" s="6"/>
    </row>
    <row r="257" ht="15.75" customHeight="1">
      <c r="B257" s="8"/>
      <c r="C257" s="9"/>
      <c r="D257" s="6"/>
      <c r="E257" s="10"/>
      <c r="F257" s="6"/>
    </row>
    <row r="258" ht="15.75" customHeight="1">
      <c r="B258" s="8"/>
      <c r="C258" s="9"/>
      <c r="D258" s="6"/>
      <c r="E258" s="10"/>
      <c r="F258" s="6"/>
    </row>
    <row r="259" ht="15.75" customHeight="1">
      <c r="B259" s="8"/>
      <c r="C259" s="9"/>
      <c r="D259" s="6"/>
      <c r="E259" s="10"/>
      <c r="F259" s="6"/>
    </row>
    <row r="260" ht="15.75" customHeight="1">
      <c r="B260" s="8"/>
      <c r="C260" s="9"/>
      <c r="D260" s="6"/>
      <c r="E260" s="10"/>
      <c r="F260" s="6"/>
    </row>
    <row r="261" ht="15.75" customHeight="1">
      <c r="B261" s="8"/>
      <c r="C261" s="9"/>
      <c r="D261" s="6"/>
      <c r="E261" s="10"/>
      <c r="F261" s="6"/>
    </row>
    <row r="262" ht="15.75" customHeight="1">
      <c r="B262" s="8"/>
      <c r="C262" s="9"/>
      <c r="D262" s="6"/>
      <c r="E262" s="10"/>
      <c r="F262" s="6"/>
    </row>
    <row r="263" ht="15.75" customHeight="1">
      <c r="B263" s="8"/>
      <c r="C263" s="9"/>
      <c r="D263" s="6"/>
      <c r="E263" s="10"/>
      <c r="F263" s="6"/>
    </row>
    <row r="264" ht="15.75" customHeight="1">
      <c r="B264" s="8"/>
      <c r="C264" s="9"/>
      <c r="D264" s="6"/>
      <c r="E264" s="10"/>
      <c r="F264" s="6"/>
    </row>
    <row r="265" ht="15.75" customHeight="1">
      <c r="B265" s="8"/>
      <c r="C265" s="9"/>
      <c r="D265" s="6"/>
      <c r="E265" s="10"/>
      <c r="F265" s="6"/>
    </row>
    <row r="266" ht="15.75" customHeight="1">
      <c r="B266" s="8"/>
      <c r="C266" s="9"/>
      <c r="D266" s="6"/>
      <c r="E266" s="10"/>
      <c r="F266" s="6"/>
    </row>
    <row r="267" ht="15.75" customHeight="1">
      <c r="B267" s="8"/>
      <c r="C267" s="9"/>
      <c r="D267" s="6"/>
      <c r="E267" s="10"/>
      <c r="F267" s="6"/>
    </row>
    <row r="268" ht="15.75" customHeight="1">
      <c r="B268" s="8"/>
      <c r="C268" s="9"/>
      <c r="D268" s="6"/>
      <c r="E268" s="10"/>
      <c r="F268" s="6"/>
    </row>
    <row r="269" ht="15.75" customHeight="1">
      <c r="B269" s="8"/>
      <c r="C269" s="9"/>
      <c r="D269" s="6"/>
      <c r="E269" s="10"/>
      <c r="F269" s="6"/>
    </row>
    <row r="270" ht="15.75" customHeight="1">
      <c r="B270" s="8"/>
      <c r="C270" s="9"/>
      <c r="D270" s="6"/>
      <c r="E270" s="10"/>
      <c r="F270" s="6"/>
    </row>
    <row r="271" ht="15.75" customHeight="1">
      <c r="B271" s="8"/>
      <c r="C271" s="9"/>
      <c r="D271" s="6"/>
      <c r="E271" s="10"/>
      <c r="F271" s="6"/>
    </row>
    <row r="272" ht="15.75" customHeight="1">
      <c r="B272" s="8"/>
      <c r="C272" s="9"/>
      <c r="D272" s="6"/>
      <c r="E272" s="10"/>
      <c r="F272" s="6"/>
    </row>
    <row r="273" ht="15.75" customHeight="1">
      <c r="B273" s="8"/>
      <c r="C273" s="9"/>
      <c r="D273" s="6"/>
      <c r="E273" s="10"/>
      <c r="F273" s="6"/>
    </row>
    <row r="274" ht="15.75" customHeight="1">
      <c r="B274" s="8"/>
      <c r="C274" s="9"/>
      <c r="D274" s="6"/>
      <c r="E274" s="10"/>
      <c r="F274" s="6"/>
    </row>
    <row r="275" ht="15.75" customHeight="1">
      <c r="B275" s="8"/>
      <c r="C275" s="9"/>
      <c r="D275" s="6"/>
      <c r="E275" s="10"/>
      <c r="F275" s="6"/>
    </row>
    <row r="276" ht="15.75" customHeight="1">
      <c r="B276" s="8"/>
      <c r="C276" s="9"/>
      <c r="D276" s="6"/>
      <c r="E276" s="10"/>
      <c r="F276" s="6"/>
    </row>
    <row r="277" ht="15.75" customHeight="1">
      <c r="B277" s="8"/>
      <c r="C277" s="9"/>
      <c r="D277" s="6"/>
      <c r="E277" s="10"/>
      <c r="F277" s="6"/>
    </row>
    <row r="278" ht="15.75" customHeight="1">
      <c r="B278" s="8"/>
      <c r="C278" s="9"/>
      <c r="D278" s="6"/>
      <c r="E278" s="10"/>
      <c r="F278" s="6"/>
    </row>
    <row r="279" ht="15.75" customHeight="1">
      <c r="B279" s="8"/>
      <c r="C279" s="9"/>
      <c r="D279" s="6"/>
      <c r="E279" s="10"/>
      <c r="F279" s="6"/>
    </row>
    <row r="280" ht="15.75" customHeight="1">
      <c r="B280" s="8"/>
      <c r="C280" s="9"/>
      <c r="D280" s="6"/>
      <c r="E280" s="10"/>
      <c r="F280" s="6"/>
    </row>
    <row r="281" ht="15.75" customHeight="1">
      <c r="B281" s="8"/>
      <c r="C281" s="9"/>
      <c r="D281" s="6"/>
      <c r="E281" s="10"/>
      <c r="F281" s="6"/>
    </row>
    <row r="282" ht="15.75" customHeight="1">
      <c r="B282" s="8"/>
      <c r="C282" s="9"/>
      <c r="D282" s="6"/>
      <c r="E282" s="10"/>
      <c r="F282" s="6"/>
    </row>
    <row r="283" ht="15.75" customHeight="1">
      <c r="B283" s="8"/>
      <c r="C283" s="9"/>
      <c r="D283" s="6"/>
      <c r="E283" s="10"/>
      <c r="F283" s="6"/>
    </row>
    <row r="284" ht="15.75" customHeight="1">
      <c r="B284" s="8"/>
      <c r="C284" s="9"/>
      <c r="D284" s="6"/>
      <c r="E284" s="10"/>
      <c r="F284" s="6"/>
    </row>
    <row r="285" ht="15.75" customHeight="1">
      <c r="B285" s="8"/>
      <c r="C285" s="9"/>
      <c r="D285" s="6"/>
      <c r="E285" s="10"/>
      <c r="F285" s="6"/>
    </row>
    <row r="286" ht="15.75" customHeight="1">
      <c r="B286" s="8"/>
      <c r="C286" s="9"/>
      <c r="D286" s="6"/>
      <c r="E286" s="10"/>
      <c r="F286" s="6"/>
    </row>
    <row r="287" ht="15.75" customHeight="1">
      <c r="B287" s="8"/>
      <c r="C287" s="9"/>
      <c r="D287" s="6"/>
      <c r="E287" s="10"/>
      <c r="F287" s="6"/>
    </row>
    <row r="288" ht="15.75" customHeight="1">
      <c r="B288" s="8"/>
      <c r="C288" s="9"/>
      <c r="D288" s="6"/>
      <c r="E288" s="10"/>
      <c r="F288" s="6"/>
    </row>
    <row r="289" ht="15.75" customHeight="1">
      <c r="B289" s="8"/>
      <c r="C289" s="9"/>
      <c r="D289" s="6"/>
      <c r="E289" s="10"/>
      <c r="F289" s="6"/>
    </row>
    <row r="290" ht="15.75" customHeight="1">
      <c r="B290" s="8"/>
      <c r="C290" s="9"/>
      <c r="D290" s="6"/>
      <c r="E290" s="10"/>
      <c r="F290" s="6"/>
    </row>
    <row r="291" ht="15.75" customHeight="1">
      <c r="B291" s="8"/>
      <c r="C291" s="9"/>
      <c r="D291" s="6"/>
      <c r="E291" s="10"/>
      <c r="F291" s="6"/>
    </row>
    <row r="292" ht="15.75" customHeight="1">
      <c r="B292" s="8"/>
      <c r="C292" s="9"/>
      <c r="D292" s="6"/>
      <c r="E292" s="10"/>
      <c r="F292" s="6"/>
    </row>
    <row r="293" ht="15.75" customHeight="1">
      <c r="B293" s="8"/>
      <c r="C293" s="9"/>
      <c r="D293" s="6"/>
      <c r="E293" s="10"/>
      <c r="F293" s="6"/>
    </row>
    <row r="294" ht="15.75" customHeight="1">
      <c r="B294" s="8"/>
      <c r="C294" s="9"/>
      <c r="D294" s="6"/>
      <c r="E294" s="10"/>
      <c r="F294" s="6"/>
    </row>
    <row r="295" ht="15.75" customHeight="1">
      <c r="B295" s="8"/>
      <c r="C295" s="9"/>
      <c r="D295" s="6"/>
      <c r="E295" s="10"/>
      <c r="F295" s="6"/>
    </row>
    <row r="296" ht="15.75" customHeight="1">
      <c r="B296" s="8"/>
      <c r="C296" s="9"/>
      <c r="D296" s="6"/>
      <c r="E296" s="10"/>
      <c r="F296" s="6"/>
    </row>
    <row r="297" ht="15.75" customHeight="1">
      <c r="B297" s="8"/>
      <c r="C297" s="9"/>
      <c r="D297" s="6"/>
      <c r="E297" s="10"/>
      <c r="F297" s="6"/>
    </row>
    <row r="298" ht="15.75" customHeight="1">
      <c r="B298" s="8"/>
      <c r="C298" s="9"/>
      <c r="D298" s="6"/>
      <c r="E298" s="10"/>
      <c r="F298" s="6"/>
    </row>
    <row r="299" ht="15.75" customHeight="1">
      <c r="B299" s="8"/>
      <c r="C299" s="9"/>
      <c r="D299" s="6"/>
      <c r="E299" s="10"/>
      <c r="F299" s="6"/>
    </row>
    <row r="300" ht="15.75" customHeight="1">
      <c r="B300" s="8"/>
      <c r="C300" s="9"/>
      <c r="D300" s="6"/>
      <c r="E300" s="10"/>
      <c r="F300" s="6"/>
    </row>
    <row r="301" ht="15.75" customHeight="1">
      <c r="B301" s="8"/>
      <c r="C301" s="9"/>
      <c r="D301" s="6"/>
      <c r="E301" s="10"/>
      <c r="F301" s="6"/>
    </row>
    <row r="302" ht="15.75" customHeight="1">
      <c r="B302" s="8"/>
      <c r="C302" s="9"/>
      <c r="D302" s="6"/>
      <c r="E302" s="10"/>
      <c r="F302" s="6"/>
    </row>
    <row r="303" ht="15.75" customHeight="1">
      <c r="B303" s="8"/>
      <c r="C303" s="9"/>
      <c r="D303" s="6"/>
      <c r="E303" s="10"/>
      <c r="F303" s="6"/>
    </row>
    <row r="304" ht="15.75" customHeight="1">
      <c r="B304" s="8"/>
      <c r="C304" s="9"/>
      <c r="D304" s="6"/>
      <c r="E304" s="10"/>
      <c r="F304" s="6"/>
    </row>
    <row r="305" ht="15.75" customHeight="1">
      <c r="B305" s="8"/>
      <c r="C305" s="9"/>
      <c r="D305" s="6"/>
      <c r="E305" s="10"/>
      <c r="F305" s="6"/>
    </row>
    <row r="306" ht="15.75" customHeight="1">
      <c r="B306" s="8"/>
      <c r="C306" s="9"/>
      <c r="D306" s="6"/>
      <c r="E306" s="10"/>
      <c r="F306" s="6"/>
    </row>
    <row r="307" ht="15.75" customHeight="1">
      <c r="B307" s="8"/>
      <c r="C307" s="9"/>
      <c r="D307" s="6"/>
      <c r="E307" s="10"/>
      <c r="F307" s="6"/>
    </row>
    <row r="308" ht="15.75" customHeight="1">
      <c r="B308" s="8"/>
      <c r="C308" s="9"/>
      <c r="D308" s="6"/>
      <c r="E308" s="10"/>
      <c r="F308" s="6"/>
    </row>
    <row r="309" ht="15.75" customHeight="1">
      <c r="B309" s="8"/>
      <c r="C309" s="9"/>
      <c r="D309" s="6"/>
      <c r="E309" s="10"/>
      <c r="F309" s="6"/>
    </row>
    <row r="310" ht="15.75" customHeight="1">
      <c r="B310" s="8"/>
      <c r="C310" s="9"/>
      <c r="D310" s="6"/>
      <c r="E310" s="10"/>
      <c r="F310" s="6"/>
    </row>
    <row r="311" ht="15.75" customHeight="1">
      <c r="B311" s="8"/>
      <c r="C311" s="9"/>
      <c r="D311" s="6"/>
      <c r="E311" s="10"/>
      <c r="F311" s="6"/>
    </row>
    <row r="312" ht="15.75" customHeight="1">
      <c r="B312" s="8"/>
      <c r="C312" s="9"/>
      <c r="D312" s="6"/>
      <c r="E312" s="10"/>
      <c r="F312" s="6"/>
    </row>
    <row r="313" ht="15.75" customHeight="1">
      <c r="B313" s="8"/>
      <c r="C313" s="9"/>
      <c r="D313" s="6"/>
      <c r="E313" s="10"/>
      <c r="F313" s="6"/>
    </row>
    <row r="314" ht="15.75" customHeight="1">
      <c r="B314" s="8"/>
      <c r="C314" s="9"/>
      <c r="D314" s="6"/>
      <c r="E314" s="10"/>
      <c r="F314" s="6"/>
    </row>
    <row r="315" ht="15.75" customHeight="1">
      <c r="B315" s="8"/>
      <c r="C315" s="9"/>
      <c r="D315" s="6"/>
      <c r="E315" s="10"/>
      <c r="F315" s="6"/>
    </row>
    <row r="316" ht="15.75" customHeight="1">
      <c r="B316" s="8"/>
      <c r="C316" s="9"/>
      <c r="D316" s="6"/>
      <c r="E316" s="10"/>
      <c r="F316" s="6"/>
    </row>
    <row r="317" ht="15.75" customHeight="1">
      <c r="B317" s="8"/>
      <c r="C317" s="9"/>
      <c r="D317" s="6"/>
      <c r="E317" s="10"/>
      <c r="F317" s="6"/>
    </row>
    <row r="318" ht="15.75" customHeight="1">
      <c r="B318" s="8"/>
      <c r="C318" s="9"/>
      <c r="D318" s="6"/>
      <c r="E318" s="10"/>
      <c r="F318" s="6"/>
    </row>
    <row r="319" ht="15.75" customHeight="1">
      <c r="B319" s="8"/>
      <c r="C319" s="9"/>
      <c r="D319" s="6"/>
      <c r="E319" s="10"/>
      <c r="F319" s="6"/>
    </row>
    <row r="320" ht="15.75" customHeight="1">
      <c r="B320" s="8"/>
      <c r="C320" s="9"/>
      <c r="D320" s="6"/>
      <c r="E320" s="10"/>
      <c r="F320" s="6"/>
    </row>
    <row r="321" ht="15.75" customHeight="1">
      <c r="B321" s="8"/>
      <c r="C321" s="9"/>
      <c r="D321" s="6"/>
      <c r="E321" s="10"/>
      <c r="F321" s="6"/>
    </row>
    <row r="322" ht="15.75" customHeight="1">
      <c r="B322" s="8"/>
      <c r="C322" s="9"/>
      <c r="D322" s="6"/>
      <c r="E322" s="10"/>
      <c r="F322" s="6"/>
    </row>
    <row r="323" ht="15.75" customHeight="1">
      <c r="B323" s="8"/>
      <c r="C323" s="9"/>
      <c r="D323" s="6"/>
      <c r="E323" s="10"/>
      <c r="F323" s="6"/>
    </row>
    <row r="324" ht="15.75" customHeight="1">
      <c r="B324" s="8"/>
      <c r="C324" s="9"/>
      <c r="D324" s="6"/>
      <c r="E324" s="10"/>
      <c r="F324" s="6"/>
    </row>
    <row r="325" ht="15.75" customHeight="1">
      <c r="B325" s="8"/>
      <c r="C325" s="9"/>
      <c r="D325" s="6"/>
      <c r="E325" s="10"/>
      <c r="F325" s="6"/>
    </row>
    <row r="326" ht="15.75" customHeight="1">
      <c r="B326" s="8"/>
      <c r="C326" s="9"/>
      <c r="D326" s="6"/>
      <c r="E326" s="10"/>
      <c r="F326" s="6"/>
    </row>
    <row r="327" ht="15.75" customHeight="1">
      <c r="B327" s="8"/>
      <c r="C327" s="9"/>
      <c r="D327" s="6"/>
      <c r="E327" s="10"/>
      <c r="F327" s="6"/>
    </row>
    <row r="328" ht="15.75" customHeight="1">
      <c r="B328" s="8"/>
      <c r="C328" s="9"/>
      <c r="D328" s="6"/>
      <c r="E328" s="10"/>
      <c r="F328" s="6"/>
    </row>
    <row r="329" ht="15.75" customHeight="1">
      <c r="B329" s="8"/>
      <c r="C329" s="9"/>
      <c r="D329" s="6"/>
      <c r="E329" s="10"/>
      <c r="F329" s="6"/>
    </row>
    <row r="330" ht="15.75" customHeight="1">
      <c r="B330" s="8"/>
      <c r="C330" s="9"/>
      <c r="D330" s="6"/>
      <c r="E330" s="10"/>
      <c r="F330" s="6"/>
    </row>
    <row r="331" ht="15.75" customHeight="1">
      <c r="B331" s="8"/>
      <c r="C331" s="9"/>
      <c r="D331" s="6"/>
      <c r="E331" s="10"/>
      <c r="F331" s="6"/>
    </row>
    <row r="332" ht="15.75" customHeight="1">
      <c r="B332" s="8"/>
      <c r="C332" s="9"/>
      <c r="D332" s="6"/>
      <c r="E332" s="10"/>
      <c r="F332" s="6"/>
    </row>
    <row r="333" ht="15.75" customHeight="1">
      <c r="B333" s="8"/>
      <c r="C333" s="9"/>
      <c r="D333" s="6"/>
      <c r="E333" s="10"/>
      <c r="F333" s="6"/>
    </row>
    <row r="334" ht="15.75" customHeight="1">
      <c r="B334" s="8"/>
      <c r="C334" s="9"/>
      <c r="D334" s="6"/>
      <c r="E334" s="10"/>
      <c r="F334" s="6"/>
    </row>
    <row r="335" ht="15.75" customHeight="1">
      <c r="B335" s="8"/>
      <c r="C335" s="9"/>
      <c r="D335" s="6"/>
      <c r="E335" s="10"/>
      <c r="F335" s="6"/>
    </row>
    <row r="336" ht="15.75" customHeight="1">
      <c r="B336" s="8"/>
      <c r="C336" s="9"/>
      <c r="D336" s="6"/>
      <c r="E336" s="10"/>
      <c r="F336" s="6"/>
    </row>
    <row r="337" ht="15.75" customHeight="1">
      <c r="B337" s="8"/>
      <c r="C337" s="9"/>
      <c r="D337" s="6"/>
      <c r="E337" s="10"/>
      <c r="F337" s="6"/>
    </row>
    <row r="338" ht="15.75" customHeight="1">
      <c r="B338" s="8"/>
      <c r="C338" s="9"/>
      <c r="D338" s="6"/>
      <c r="E338" s="10"/>
      <c r="F338" s="6"/>
    </row>
    <row r="339" ht="15.75" customHeight="1">
      <c r="B339" s="8"/>
      <c r="C339" s="9"/>
      <c r="D339" s="6"/>
      <c r="E339" s="10"/>
      <c r="F339" s="6"/>
    </row>
    <row r="340" ht="15.75" customHeight="1">
      <c r="B340" s="8"/>
      <c r="C340" s="9"/>
      <c r="D340" s="6"/>
      <c r="E340" s="10"/>
      <c r="F340" s="6"/>
    </row>
    <row r="341" ht="15.75" customHeight="1">
      <c r="B341" s="8"/>
      <c r="C341" s="9"/>
      <c r="D341" s="6"/>
      <c r="E341" s="10"/>
      <c r="F341" s="6"/>
    </row>
    <row r="342" ht="15.75" customHeight="1">
      <c r="B342" s="8"/>
      <c r="C342" s="9"/>
      <c r="D342" s="6"/>
      <c r="E342" s="10"/>
      <c r="F342" s="6"/>
    </row>
    <row r="343" ht="15.75" customHeight="1">
      <c r="B343" s="8"/>
      <c r="C343" s="9"/>
      <c r="D343" s="6"/>
      <c r="E343" s="10"/>
      <c r="F343" s="6"/>
    </row>
    <row r="344" ht="15.75" customHeight="1">
      <c r="B344" s="8"/>
      <c r="C344" s="9"/>
      <c r="D344" s="6"/>
      <c r="E344" s="10"/>
      <c r="F344" s="6"/>
    </row>
    <row r="345" ht="15.75" customHeight="1">
      <c r="B345" s="8"/>
      <c r="C345" s="9"/>
      <c r="D345" s="6"/>
      <c r="E345" s="10"/>
      <c r="F345" s="6"/>
    </row>
    <row r="346" ht="15.75" customHeight="1">
      <c r="B346" s="8"/>
      <c r="C346" s="9"/>
      <c r="D346" s="6"/>
      <c r="E346" s="10"/>
      <c r="F346" s="6"/>
    </row>
    <row r="347" ht="15.75" customHeight="1">
      <c r="B347" s="8"/>
      <c r="C347" s="9"/>
      <c r="D347" s="6"/>
      <c r="E347" s="10"/>
      <c r="F347" s="6"/>
    </row>
    <row r="348" ht="15.75" customHeight="1">
      <c r="B348" s="8"/>
      <c r="C348" s="9"/>
      <c r="D348" s="6"/>
      <c r="E348" s="10"/>
      <c r="F348" s="6"/>
    </row>
    <row r="349" ht="15.75" customHeight="1">
      <c r="B349" s="8"/>
      <c r="C349" s="9"/>
      <c r="D349" s="6"/>
      <c r="E349" s="10"/>
      <c r="F349" s="6"/>
    </row>
    <row r="350" ht="15.75" customHeight="1">
      <c r="B350" s="8"/>
      <c r="C350" s="9"/>
      <c r="D350" s="6"/>
      <c r="E350" s="10"/>
      <c r="F350" s="6"/>
    </row>
    <row r="351" ht="15.75" customHeight="1">
      <c r="B351" s="8"/>
      <c r="C351" s="9"/>
      <c r="D351" s="6"/>
      <c r="E351" s="10"/>
      <c r="F351" s="6"/>
    </row>
    <row r="352" ht="15.75" customHeight="1">
      <c r="B352" s="8"/>
      <c r="C352" s="9"/>
      <c r="D352" s="6"/>
      <c r="E352" s="10"/>
      <c r="F352" s="6"/>
    </row>
    <row r="353" ht="15.75" customHeight="1">
      <c r="B353" s="8"/>
      <c r="C353" s="9"/>
      <c r="D353" s="6"/>
      <c r="E353" s="10"/>
      <c r="F353" s="6"/>
    </row>
    <row r="354" ht="15.75" customHeight="1">
      <c r="B354" s="8"/>
      <c r="C354" s="9"/>
      <c r="D354" s="6"/>
      <c r="E354" s="10"/>
      <c r="F354" s="6"/>
    </row>
    <row r="355" ht="15.75" customHeight="1">
      <c r="B355" s="8"/>
      <c r="C355" s="9"/>
      <c r="D355" s="6"/>
      <c r="E355" s="10"/>
      <c r="F355" s="6"/>
    </row>
    <row r="356" ht="15.75" customHeight="1">
      <c r="B356" s="8"/>
      <c r="C356" s="9"/>
      <c r="D356" s="6"/>
      <c r="E356" s="10"/>
      <c r="F356" s="6"/>
    </row>
    <row r="357" ht="15.75" customHeight="1">
      <c r="B357" s="8"/>
      <c r="C357" s="9"/>
      <c r="D357" s="6"/>
      <c r="E357" s="10"/>
      <c r="F357" s="6"/>
    </row>
    <row r="358" ht="15.75" customHeight="1">
      <c r="B358" s="8"/>
      <c r="C358" s="9"/>
      <c r="D358" s="6"/>
      <c r="E358" s="10"/>
      <c r="F358" s="6"/>
    </row>
    <row r="359" ht="15.75" customHeight="1">
      <c r="B359" s="8"/>
      <c r="C359" s="9"/>
      <c r="D359" s="6"/>
      <c r="E359" s="10"/>
      <c r="F359" s="6"/>
    </row>
    <row r="360" ht="15.75" customHeight="1">
      <c r="B360" s="8"/>
      <c r="C360" s="9"/>
      <c r="D360" s="6"/>
      <c r="E360" s="10"/>
      <c r="F360" s="6"/>
    </row>
    <row r="361" ht="15.75" customHeight="1">
      <c r="B361" s="8"/>
      <c r="C361" s="9"/>
      <c r="D361" s="6"/>
      <c r="E361" s="10"/>
      <c r="F361" s="6"/>
    </row>
    <row r="362" ht="15.75" customHeight="1">
      <c r="B362" s="8"/>
      <c r="C362" s="9"/>
      <c r="D362" s="6"/>
      <c r="E362" s="10"/>
      <c r="F362" s="6"/>
    </row>
    <row r="363" ht="15.75" customHeight="1">
      <c r="B363" s="8"/>
      <c r="C363" s="9"/>
      <c r="D363" s="6"/>
      <c r="E363" s="10"/>
      <c r="F363" s="6"/>
    </row>
    <row r="364" ht="15.75" customHeight="1">
      <c r="B364" s="8"/>
      <c r="C364" s="9"/>
      <c r="D364" s="6"/>
      <c r="E364" s="10"/>
      <c r="F364" s="6"/>
    </row>
    <row r="365" ht="15.75" customHeight="1">
      <c r="B365" s="8"/>
      <c r="C365" s="9"/>
      <c r="D365" s="6"/>
      <c r="E365" s="10"/>
      <c r="F365" s="6"/>
    </row>
    <row r="366" ht="15.75" customHeight="1">
      <c r="B366" s="8"/>
      <c r="C366" s="9"/>
      <c r="D366" s="6"/>
      <c r="E366" s="10"/>
      <c r="F366" s="6"/>
    </row>
    <row r="367" ht="15.75" customHeight="1">
      <c r="B367" s="8"/>
      <c r="C367" s="9"/>
      <c r="D367" s="6"/>
      <c r="E367" s="10"/>
      <c r="F367" s="6"/>
    </row>
    <row r="368" ht="15.75" customHeight="1">
      <c r="B368" s="8"/>
      <c r="C368" s="9"/>
      <c r="D368" s="6"/>
      <c r="E368" s="10"/>
      <c r="F368" s="6"/>
    </row>
    <row r="369" ht="15.75" customHeight="1">
      <c r="B369" s="8"/>
      <c r="C369" s="9"/>
      <c r="D369" s="6"/>
      <c r="E369" s="10"/>
      <c r="F369" s="6"/>
    </row>
    <row r="370" ht="15.75" customHeight="1">
      <c r="B370" s="8"/>
      <c r="C370" s="9"/>
      <c r="D370" s="6"/>
      <c r="E370" s="10"/>
      <c r="F370" s="6"/>
    </row>
    <row r="371" ht="15.75" customHeight="1">
      <c r="B371" s="8"/>
      <c r="C371" s="9"/>
      <c r="D371" s="6"/>
      <c r="E371" s="10"/>
      <c r="F371" s="6"/>
    </row>
    <row r="372" ht="15.75" customHeight="1">
      <c r="B372" s="8"/>
      <c r="C372" s="9"/>
      <c r="D372" s="6"/>
      <c r="E372" s="10"/>
      <c r="F372" s="6"/>
    </row>
    <row r="373" ht="15.75" customHeight="1">
      <c r="B373" s="8"/>
      <c r="C373" s="9"/>
      <c r="D373" s="6"/>
      <c r="E373" s="10"/>
      <c r="F373" s="6"/>
    </row>
    <row r="374" ht="15.75" customHeight="1">
      <c r="B374" s="8"/>
      <c r="C374" s="9"/>
      <c r="D374" s="6"/>
      <c r="E374" s="10"/>
      <c r="F374" s="6"/>
    </row>
    <row r="375" ht="15.75" customHeight="1">
      <c r="B375" s="8"/>
      <c r="C375" s="9"/>
      <c r="D375" s="6"/>
      <c r="E375" s="10"/>
      <c r="F375" s="6"/>
    </row>
    <row r="376" ht="15.75" customHeight="1">
      <c r="B376" s="8"/>
      <c r="C376" s="9"/>
      <c r="D376" s="6"/>
      <c r="E376" s="10"/>
      <c r="F376" s="6"/>
    </row>
    <row r="377" ht="15.75" customHeight="1">
      <c r="B377" s="8"/>
      <c r="C377" s="9"/>
      <c r="D377" s="6"/>
      <c r="E377" s="10"/>
      <c r="F377" s="6"/>
    </row>
    <row r="378" ht="15.75" customHeight="1">
      <c r="B378" s="8"/>
      <c r="C378" s="9"/>
      <c r="D378" s="6"/>
      <c r="E378" s="10"/>
      <c r="F378" s="6"/>
    </row>
    <row r="379" ht="15.75" customHeight="1">
      <c r="B379" s="8"/>
      <c r="C379" s="9"/>
      <c r="D379" s="6"/>
      <c r="E379" s="10"/>
      <c r="F379" s="6"/>
    </row>
    <row r="380" ht="15.75" customHeight="1">
      <c r="B380" s="8"/>
      <c r="C380" s="9"/>
      <c r="D380" s="6"/>
      <c r="E380" s="10"/>
      <c r="F380" s="6"/>
    </row>
    <row r="381" ht="15.75" customHeight="1">
      <c r="B381" s="8"/>
      <c r="C381" s="9"/>
      <c r="D381" s="6"/>
      <c r="E381" s="10"/>
      <c r="F381" s="6"/>
    </row>
    <row r="382" ht="15.75" customHeight="1">
      <c r="B382" s="8"/>
      <c r="C382" s="9"/>
      <c r="D382" s="6"/>
      <c r="E382" s="10"/>
      <c r="F382" s="6"/>
    </row>
    <row r="383" ht="15.75" customHeight="1">
      <c r="B383" s="8"/>
      <c r="C383" s="9"/>
      <c r="D383" s="6"/>
      <c r="E383" s="10"/>
      <c r="F383" s="6"/>
    </row>
    <row r="384" ht="15.75" customHeight="1">
      <c r="B384" s="8"/>
      <c r="C384" s="9"/>
      <c r="D384" s="6"/>
      <c r="E384" s="10"/>
      <c r="F384" s="6"/>
    </row>
    <row r="385" ht="15.75" customHeight="1">
      <c r="B385" s="8"/>
      <c r="C385" s="9"/>
      <c r="D385" s="6"/>
      <c r="E385" s="10"/>
      <c r="F385" s="6"/>
    </row>
    <row r="386" ht="15.75" customHeight="1">
      <c r="B386" s="8"/>
      <c r="C386" s="9"/>
      <c r="D386" s="6"/>
      <c r="E386" s="10"/>
      <c r="F386" s="6"/>
    </row>
    <row r="387" ht="15.75" customHeight="1">
      <c r="B387" s="8"/>
      <c r="C387" s="9"/>
      <c r="D387" s="6"/>
      <c r="E387" s="10"/>
      <c r="F387" s="6"/>
    </row>
    <row r="388" ht="15.75" customHeight="1">
      <c r="B388" s="8"/>
      <c r="C388" s="9"/>
      <c r="D388" s="6"/>
      <c r="E388" s="10"/>
      <c r="F388" s="6"/>
    </row>
    <row r="389" ht="15.75" customHeight="1">
      <c r="B389" s="8"/>
      <c r="C389" s="9"/>
      <c r="D389" s="6"/>
      <c r="E389" s="10"/>
      <c r="F389" s="6"/>
    </row>
    <row r="390" ht="15.75" customHeight="1">
      <c r="B390" s="8"/>
      <c r="C390" s="9"/>
      <c r="D390" s="6"/>
      <c r="E390" s="10"/>
      <c r="F390" s="6"/>
    </row>
    <row r="391" ht="15.75" customHeight="1">
      <c r="B391" s="8"/>
      <c r="C391" s="9"/>
      <c r="D391" s="6"/>
      <c r="E391" s="10"/>
      <c r="F391" s="6"/>
    </row>
    <row r="392" ht="15.75" customHeight="1">
      <c r="B392" s="8"/>
      <c r="C392" s="9"/>
      <c r="D392" s="6"/>
      <c r="E392" s="10"/>
      <c r="F392" s="6"/>
    </row>
    <row r="393" ht="15.75" customHeight="1">
      <c r="B393" s="8"/>
      <c r="C393" s="9"/>
      <c r="D393" s="6"/>
      <c r="E393" s="10"/>
      <c r="F393" s="6"/>
    </row>
    <row r="394" ht="15.75" customHeight="1">
      <c r="B394" s="8"/>
      <c r="C394" s="9"/>
      <c r="D394" s="6"/>
      <c r="E394" s="10"/>
      <c r="F394" s="6"/>
    </row>
    <row r="395" ht="15.75" customHeight="1">
      <c r="B395" s="8"/>
      <c r="C395" s="9"/>
      <c r="D395" s="6"/>
      <c r="E395" s="10"/>
      <c r="F395" s="6"/>
    </row>
    <row r="396" ht="15.75" customHeight="1">
      <c r="B396" s="8"/>
      <c r="C396" s="9"/>
      <c r="D396" s="6"/>
      <c r="E396" s="10"/>
      <c r="F396" s="6"/>
    </row>
    <row r="397" ht="15.75" customHeight="1">
      <c r="B397" s="8"/>
      <c r="C397" s="9"/>
      <c r="D397" s="6"/>
      <c r="E397" s="10"/>
      <c r="F397" s="6"/>
    </row>
    <row r="398" ht="15.75" customHeight="1">
      <c r="B398" s="8"/>
      <c r="C398" s="9"/>
      <c r="D398" s="6"/>
      <c r="E398" s="10"/>
      <c r="F398" s="6"/>
    </row>
    <row r="399" ht="15.75" customHeight="1">
      <c r="B399" s="8"/>
      <c r="C399" s="9"/>
      <c r="D399" s="6"/>
      <c r="E399" s="10"/>
      <c r="F399" s="6"/>
    </row>
    <row r="400" ht="15.75" customHeight="1">
      <c r="B400" s="8"/>
      <c r="C400" s="9"/>
      <c r="D400" s="6"/>
      <c r="E400" s="10"/>
      <c r="F400" s="6"/>
    </row>
    <row r="401" ht="15.75" customHeight="1">
      <c r="B401" s="8"/>
      <c r="C401" s="9"/>
      <c r="D401" s="6"/>
      <c r="E401" s="10"/>
      <c r="F401" s="6"/>
    </row>
    <row r="402" ht="15.75" customHeight="1">
      <c r="B402" s="8"/>
      <c r="C402" s="9"/>
      <c r="D402" s="6"/>
      <c r="E402" s="10"/>
      <c r="F402" s="6"/>
    </row>
    <row r="403" ht="15.75" customHeight="1">
      <c r="B403" s="8"/>
      <c r="C403" s="9"/>
      <c r="D403" s="6"/>
      <c r="E403" s="10"/>
      <c r="F403" s="6"/>
    </row>
    <row r="404" ht="15.75" customHeight="1">
      <c r="B404" s="8"/>
      <c r="C404" s="9"/>
      <c r="D404" s="6"/>
      <c r="E404" s="10"/>
      <c r="F404" s="6"/>
    </row>
    <row r="405" ht="15.75" customHeight="1">
      <c r="B405" s="8"/>
      <c r="C405" s="9"/>
      <c r="D405" s="6"/>
      <c r="E405" s="10"/>
      <c r="F405" s="6"/>
    </row>
    <row r="406" ht="15.75" customHeight="1">
      <c r="B406" s="8"/>
      <c r="C406" s="9"/>
      <c r="D406" s="6"/>
      <c r="E406" s="10"/>
      <c r="F406" s="6"/>
    </row>
    <row r="407" ht="15.75" customHeight="1">
      <c r="B407" s="8"/>
      <c r="C407" s="9"/>
      <c r="D407" s="6"/>
      <c r="E407" s="10"/>
      <c r="F407" s="6"/>
    </row>
    <row r="408" ht="15.75" customHeight="1">
      <c r="B408" s="8"/>
      <c r="C408" s="9"/>
      <c r="D408" s="6"/>
      <c r="E408" s="10"/>
      <c r="F408" s="6"/>
    </row>
    <row r="409" ht="15.75" customHeight="1">
      <c r="B409" s="8"/>
      <c r="C409" s="9"/>
      <c r="D409" s="6"/>
      <c r="E409" s="10"/>
      <c r="F409" s="6"/>
    </row>
    <row r="410" ht="15.75" customHeight="1">
      <c r="B410" s="8"/>
      <c r="C410" s="9"/>
      <c r="D410" s="6"/>
      <c r="E410" s="10"/>
      <c r="F410" s="6"/>
    </row>
    <row r="411" ht="15.75" customHeight="1">
      <c r="B411" s="8"/>
      <c r="C411" s="9"/>
      <c r="D411" s="6"/>
      <c r="E411" s="10"/>
      <c r="F411" s="6"/>
    </row>
    <row r="412" ht="15.75" customHeight="1">
      <c r="B412" s="8"/>
      <c r="C412" s="9"/>
      <c r="D412" s="6"/>
      <c r="E412" s="10"/>
      <c r="F412" s="6"/>
    </row>
    <row r="413" ht="15.75" customHeight="1">
      <c r="B413" s="8"/>
      <c r="C413" s="9"/>
      <c r="D413" s="6"/>
      <c r="E413" s="10"/>
      <c r="F413" s="6"/>
    </row>
    <row r="414" ht="15.75" customHeight="1">
      <c r="B414" s="8"/>
      <c r="C414" s="9"/>
      <c r="D414" s="6"/>
      <c r="E414" s="10"/>
      <c r="F414" s="6"/>
    </row>
    <row r="415" ht="15.75" customHeight="1">
      <c r="B415" s="8"/>
      <c r="C415" s="9"/>
      <c r="D415" s="6"/>
      <c r="E415" s="10"/>
      <c r="F415" s="6"/>
    </row>
    <row r="416" ht="15.75" customHeight="1">
      <c r="B416" s="8"/>
      <c r="C416" s="9"/>
      <c r="D416" s="6"/>
      <c r="E416" s="10"/>
      <c r="F416" s="6"/>
    </row>
    <row r="417" ht="15.75" customHeight="1">
      <c r="B417" s="8"/>
      <c r="C417" s="9"/>
      <c r="D417" s="6"/>
      <c r="E417" s="10"/>
      <c r="F417" s="6"/>
    </row>
    <row r="418" ht="15.75" customHeight="1">
      <c r="B418" s="8"/>
      <c r="C418" s="9"/>
      <c r="D418" s="6"/>
      <c r="E418" s="10"/>
      <c r="F418" s="6"/>
    </row>
    <row r="419" ht="15.75" customHeight="1">
      <c r="B419" s="8"/>
      <c r="C419" s="9"/>
      <c r="D419" s="6"/>
      <c r="E419" s="10"/>
      <c r="F419" s="6"/>
    </row>
    <row r="420" ht="15.75" customHeight="1">
      <c r="B420" s="8"/>
      <c r="C420" s="9"/>
      <c r="D420" s="6"/>
      <c r="E420" s="10"/>
      <c r="F420" s="6"/>
    </row>
    <row r="421" ht="15.75" customHeight="1">
      <c r="B421" s="8"/>
      <c r="C421" s="9"/>
      <c r="D421" s="6"/>
      <c r="E421" s="10"/>
      <c r="F421" s="6"/>
    </row>
    <row r="422" ht="15.75" customHeight="1">
      <c r="B422" s="8"/>
      <c r="C422" s="9"/>
      <c r="D422" s="6"/>
      <c r="E422" s="10"/>
      <c r="F422" s="6"/>
    </row>
    <row r="423" ht="15.75" customHeight="1">
      <c r="B423" s="8"/>
      <c r="C423" s="9"/>
      <c r="D423" s="6"/>
      <c r="E423" s="10"/>
      <c r="F423" s="6"/>
    </row>
    <row r="424" ht="15.75" customHeight="1">
      <c r="B424" s="8"/>
      <c r="C424" s="9"/>
      <c r="D424" s="6"/>
      <c r="E424" s="10"/>
      <c r="F424" s="6"/>
    </row>
    <row r="425" ht="15.75" customHeight="1">
      <c r="B425" s="8"/>
      <c r="C425" s="9"/>
      <c r="D425" s="6"/>
      <c r="E425" s="10"/>
      <c r="F425" s="6"/>
    </row>
    <row r="426" ht="15.75" customHeight="1">
      <c r="B426" s="8"/>
      <c r="C426" s="9"/>
      <c r="D426" s="6"/>
      <c r="E426" s="10"/>
      <c r="F426" s="6"/>
    </row>
    <row r="427" ht="15.75" customHeight="1">
      <c r="B427" s="8"/>
      <c r="C427" s="9"/>
      <c r="D427" s="6"/>
      <c r="E427" s="10"/>
      <c r="F427" s="6"/>
    </row>
    <row r="428" ht="15.75" customHeight="1">
      <c r="B428" s="8"/>
      <c r="C428" s="9"/>
      <c r="D428" s="6"/>
      <c r="E428" s="10"/>
      <c r="F428" s="6"/>
    </row>
    <row r="429" ht="15.75" customHeight="1">
      <c r="B429" s="8"/>
      <c r="C429" s="9"/>
      <c r="D429" s="6"/>
      <c r="E429" s="10"/>
      <c r="F429" s="6"/>
    </row>
    <row r="430" ht="15.75" customHeight="1">
      <c r="B430" s="8"/>
      <c r="C430" s="9"/>
      <c r="D430" s="6"/>
      <c r="E430" s="10"/>
      <c r="F430" s="6"/>
    </row>
    <row r="431" ht="15.75" customHeight="1">
      <c r="B431" s="8"/>
      <c r="C431" s="9"/>
      <c r="D431" s="6"/>
      <c r="E431" s="10"/>
      <c r="F431" s="6"/>
    </row>
    <row r="432" ht="15.75" customHeight="1">
      <c r="B432" s="8"/>
      <c r="C432" s="9"/>
      <c r="D432" s="6"/>
      <c r="E432" s="10"/>
      <c r="F432" s="6"/>
    </row>
    <row r="433" ht="15.75" customHeight="1">
      <c r="B433" s="8"/>
      <c r="C433" s="9"/>
      <c r="D433" s="6"/>
      <c r="E433" s="10"/>
      <c r="F433" s="6"/>
    </row>
    <row r="434" ht="15.75" customHeight="1">
      <c r="B434" s="8"/>
      <c r="C434" s="9"/>
      <c r="D434" s="6"/>
      <c r="E434" s="10"/>
      <c r="F434" s="6"/>
    </row>
    <row r="435" ht="15.75" customHeight="1">
      <c r="B435" s="8"/>
      <c r="C435" s="9"/>
      <c r="D435" s="6"/>
      <c r="E435" s="10"/>
      <c r="F435" s="6"/>
    </row>
    <row r="436" ht="15.75" customHeight="1">
      <c r="B436" s="8"/>
      <c r="C436" s="9"/>
      <c r="D436" s="6"/>
      <c r="E436" s="10"/>
      <c r="F436" s="6"/>
    </row>
    <row r="437" ht="15.75" customHeight="1">
      <c r="B437" s="8"/>
      <c r="C437" s="9"/>
      <c r="D437" s="6"/>
      <c r="E437" s="10"/>
      <c r="F437" s="6"/>
    </row>
    <row r="438" ht="15.75" customHeight="1">
      <c r="B438" s="8"/>
      <c r="C438" s="9"/>
      <c r="D438" s="6"/>
      <c r="E438" s="10"/>
      <c r="F438" s="6"/>
    </row>
    <row r="439" ht="15.75" customHeight="1">
      <c r="B439" s="8"/>
      <c r="C439" s="9"/>
      <c r="D439" s="6"/>
      <c r="E439" s="10"/>
      <c r="F439" s="6"/>
    </row>
    <row r="440" ht="15.75" customHeight="1">
      <c r="B440" s="8"/>
      <c r="C440" s="9"/>
      <c r="D440" s="6"/>
      <c r="E440" s="10"/>
      <c r="F440" s="6"/>
    </row>
    <row r="441" ht="15.75" customHeight="1">
      <c r="B441" s="8"/>
      <c r="C441" s="9"/>
      <c r="D441" s="6"/>
      <c r="E441" s="10"/>
      <c r="F441" s="6"/>
    </row>
    <row r="442" ht="15.75" customHeight="1">
      <c r="B442" s="8"/>
      <c r="C442" s="9"/>
      <c r="D442" s="6"/>
      <c r="E442" s="10"/>
      <c r="F442" s="6"/>
    </row>
    <row r="443" ht="15.75" customHeight="1">
      <c r="B443" s="8"/>
      <c r="C443" s="9"/>
      <c r="D443" s="6"/>
      <c r="E443" s="10"/>
      <c r="F443" s="6"/>
    </row>
    <row r="444" ht="15.75" customHeight="1">
      <c r="B444" s="8"/>
      <c r="C444" s="9"/>
      <c r="D444" s="6"/>
      <c r="E444" s="10"/>
      <c r="F444" s="6"/>
    </row>
    <row r="445" ht="15.75" customHeight="1">
      <c r="B445" s="8"/>
      <c r="C445" s="9"/>
      <c r="D445" s="6"/>
      <c r="E445" s="10"/>
      <c r="F445" s="6"/>
    </row>
    <row r="446" ht="15.75" customHeight="1">
      <c r="B446" s="8"/>
      <c r="C446" s="9"/>
      <c r="D446" s="6"/>
      <c r="E446" s="10"/>
      <c r="F446" s="6"/>
    </row>
    <row r="447" ht="15.75" customHeight="1">
      <c r="B447" s="8"/>
      <c r="C447" s="9"/>
      <c r="D447" s="6"/>
      <c r="E447" s="10"/>
      <c r="F447" s="6"/>
    </row>
    <row r="448" ht="15.75" customHeight="1">
      <c r="B448" s="8"/>
      <c r="C448" s="9"/>
      <c r="D448" s="6"/>
      <c r="E448" s="10"/>
      <c r="F448" s="6"/>
    </row>
    <row r="449" ht="15.75" customHeight="1">
      <c r="B449" s="8"/>
      <c r="C449" s="9"/>
      <c r="D449" s="6"/>
      <c r="E449" s="10"/>
      <c r="F449" s="6"/>
    </row>
    <row r="450" ht="15.75" customHeight="1">
      <c r="B450" s="8"/>
      <c r="C450" s="9"/>
      <c r="D450" s="6"/>
      <c r="E450" s="10"/>
      <c r="F450" s="6"/>
    </row>
    <row r="451" ht="15.75" customHeight="1">
      <c r="B451" s="8"/>
      <c r="C451" s="9"/>
      <c r="D451" s="6"/>
      <c r="E451" s="10"/>
      <c r="F451" s="6"/>
    </row>
    <row r="452" ht="15.75" customHeight="1">
      <c r="B452" s="8"/>
      <c r="C452" s="9"/>
      <c r="D452" s="6"/>
      <c r="E452" s="10"/>
      <c r="F452" s="6"/>
    </row>
    <row r="453" ht="15.75" customHeight="1">
      <c r="B453" s="8"/>
      <c r="C453" s="9"/>
      <c r="D453" s="6"/>
      <c r="E453" s="10"/>
      <c r="F453" s="6"/>
    </row>
    <row r="454" ht="15.75" customHeight="1">
      <c r="B454" s="8"/>
      <c r="C454" s="9"/>
      <c r="D454" s="6"/>
      <c r="E454" s="10"/>
      <c r="F454" s="6"/>
    </row>
    <row r="455" ht="15.75" customHeight="1">
      <c r="B455" s="8"/>
      <c r="C455" s="9"/>
      <c r="D455" s="6"/>
      <c r="E455" s="10"/>
      <c r="F455" s="6"/>
    </row>
    <row r="456" ht="15.75" customHeight="1">
      <c r="B456" s="8"/>
      <c r="C456" s="9"/>
      <c r="D456" s="6"/>
      <c r="E456" s="10"/>
      <c r="F456" s="6"/>
    </row>
    <row r="457" ht="15.75" customHeight="1">
      <c r="B457" s="8"/>
      <c r="C457" s="9"/>
      <c r="D457" s="6"/>
      <c r="E457" s="10"/>
      <c r="F457" s="6"/>
    </row>
    <row r="458" ht="15.75" customHeight="1">
      <c r="B458" s="8"/>
      <c r="C458" s="9"/>
      <c r="D458" s="6"/>
      <c r="E458" s="10"/>
      <c r="F458" s="6"/>
    </row>
    <row r="459" ht="15.75" customHeight="1">
      <c r="B459" s="8"/>
      <c r="C459" s="9"/>
      <c r="D459" s="6"/>
      <c r="E459" s="10"/>
      <c r="F459" s="6"/>
    </row>
    <row r="460" ht="15.75" customHeight="1">
      <c r="B460" s="8"/>
      <c r="C460" s="9"/>
      <c r="D460" s="6"/>
      <c r="E460" s="10"/>
      <c r="F460" s="6"/>
    </row>
    <row r="461" ht="15.75" customHeight="1">
      <c r="B461" s="8"/>
      <c r="C461" s="9"/>
      <c r="D461" s="6"/>
      <c r="E461" s="10"/>
      <c r="F461" s="6"/>
    </row>
    <row r="462" ht="15.75" customHeight="1">
      <c r="B462" s="8"/>
      <c r="C462" s="9"/>
      <c r="D462" s="6"/>
      <c r="E462" s="10"/>
      <c r="F462" s="6"/>
    </row>
    <row r="463" ht="15.75" customHeight="1">
      <c r="B463" s="8"/>
      <c r="C463" s="9"/>
      <c r="D463" s="6"/>
      <c r="E463" s="10"/>
      <c r="F463" s="6"/>
    </row>
    <row r="464" ht="15.75" customHeight="1">
      <c r="B464" s="8"/>
      <c r="C464" s="9"/>
      <c r="D464" s="6"/>
      <c r="E464" s="10"/>
      <c r="F464" s="6"/>
    </row>
    <row r="465" ht="15.75" customHeight="1">
      <c r="B465" s="8"/>
      <c r="C465" s="9"/>
      <c r="D465" s="6"/>
      <c r="E465" s="10"/>
      <c r="F465" s="6"/>
    </row>
    <row r="466" ht="15.75" customHeight="1">
      <c r="B466" s="8"/>
      <c r="C466" s="9"/>
      <c r="D466" s="6"/>
      <c r="E466" s="10"/>
      <c r="F466" s="6"/>
    </row>
    <row r="467" ht="15.75" customHeight="1">
      <c r="B467" s="8"/>
      <c r="C467" s="9"/>
      <c r="D467" s="6"/>
      <c r="E467" s="10"/>
      <c r="F467" s="6"/>
    </row>
    <row r="468" ht="15.75" customHeight="1">
      <c r="B468" s="8"/>
      <c r="C468" s="9"/>
      <c r="D468" s="6"/>
      <c r="E468" s="10"/>
      <c r="F468" s="6"/>
    </row>
    <row r="469" ht="15.75" customHeight="1">
      <c r="B469" s="8"/>
      <c r="C469" s="9"/>
      <c r="D469" s="6"/>
      <c r="E469" s="10"/>
      <c r="F469" s="6"/>
    </row>
    <row r="470" ht="15.75" customHeight="1">
      <c r="B470" s="8"/>
      <c r="C470" s="9"/>
      <c r="D470" s="6"/>
      <c r="E470" s="10"/>
      <c r="F470" s="6"/>
    </row>
    <row r="471" ht="15.75" customHeight="1">
      <c r="B471" s="8"/>
      <c r="C471" s="9"/>
      <c r="D471" s="6"/>
      <c r="E471" s="10"/>
      <c r="F471" s="6"/>
    </row>
    <row r="472" ht="15.75" customHeight="1">
      <c r="B472" s="8"/>
      <c r="C472" s="9"/>
      <c r="D472" s="6"/>
      <c r="E472" s="10"/>
      <c r="F472" s="6"/>
    </row>
    <row r="473" ht="15.75" customHeight="1">
      <c r="B473" s="8"/>
      <c r="C473" s="9"/>
      <c r="D473" s="6"/>
      <c r="E473" s="10"/>
      <c r="F473" s="6"/>
    </row>
    <row r="474" ht="15.75" customHeight="1">
      <c r="B474" s="8"/>
      <c r="C474" s="9"/>
      <c r="D474" s="6"/>
      <c r="E474" s="10"/>
      <c r="F474" s="6"/>
    </row>
    <row r="475" ht="15.75" customHeight="1">
      <c r="B475" s="8"/>
      <c r="C475" s="9"/>
      <c r="D475" s="6"/>
      <c r="E475" s="10"/>
      <c r="F475" s="6"/>
    </row>
    <row r="476" ht="15.75" customHeight="1">
      <c r="B476" s="8"/>
      <c r="C476" s="9"/>
      <c r="D476" s="6"/>
      <c r="E476" s="10"/>
      <c r="F476" s="6"/>
    </row>
    <row r="477" ht="15.75" customHeight="1">
      <c r="B477" s="8"/>
      <c r="C477" s="9"/>
      <c r="D477" s="6"/>
      <c r="E477" s="10"/>
      <c r="F477" s="6"/>
    </row>
    <row r="478" ht="15.75" customHeight="1">
      <c r="B478" s="8"/>
      <c r="C478" s="9"/>
      <c r="D478" s="6"/>
      <c r="E478" s="10"/>
      <c r="F478" s="6"/>
    </row>
    <row r="479" ht="15.75" customHeight="1">
      <c r="B479" s="8"/>
      <c r="C479" s="9"/>
      <c r="D479" s="6"/>
      <c r="E479" s="10"/>
      <c r="F479" s="6"/>
    </row>
    <row r="480" ht="15.75" customHeight="1">
      <c r="B480" s="8"/>
      <c r="C480" s="9"/>
      <c r="D480" s="6"/>
      <c r="E480" s="10"/>
      <c r="F480" s="6"/>
    </row>
    <row r="481" ht="15.75" customHeight="1">
      <c r="B481" s="8"/>
      <c r="C481" s="9"/>
      <c r="D481" s="6"/>
      <c r="E481" s="10"/>
      <c r="F481" s="6"/>
    </row>
    <row r="482" ht="15.75" customHeight="1">
      <c r="B482" s="8"/>
      <c r="C482" s="9"/>
      <c r="D482" s="6"/>
      <c r="E482" s="10"/>
      <c r="F482" s="6"/>
    </row>
    <row r="483" ht="15.75" customHeight="1">
      <c r="B483" s="8"/>
      <c r="C483" s="9"/>
      <c r="D483" s="6"/>
      <c r="E483" s="10"/>
      <c r="F483" s="6"/>
    </row>
    <row r="484" ht="15.75" customHeight="1">
      <c r="B484" s="8"/>
      <c r="C484" s="9"/>
      <c r="D484" s="6"/>
      <c r="E484" s="10"/>
      <c r="F484" s="6"/>
    </row>
    <row r="485" ht="15.75" customHeight="1">
      <c r="B485" s="8"/>
      <c r="C485" s="9"/>
      <c r="D485" s="6"/>
      <c r="E485" s="10"/>
      <c r="F485" s="6"/>
    </row>
    <row r="486" ht="15.75" customHeight="1">
      <c r="B486" s="8"/>
      <c r="C486" s="9"/>
      <c r="D486" s="6"/>
      <c r="E486" s="10"/>
      <c r="F486" s="6"/>
    </row>
    <row r="487" ht="15.75" customHeight="1">
      <c r="B487" s="8"/>
      <c r="C487" s="9"/>
      <c r="D487" s="6"/>
      <c r="E487" s="10"/>
      <c r="F487" s="6"/>
    </row>
    <row r="488" ht="15.75" customHeight="1">
      <c r="B488" s="8"/>
      <c r="C488" s="9"/>
      <c r="D488" s="6"/>
      <c r="E488" s="10"/>
      <c r="F488" s="6"/>
    </row>
    <row r="489" ht="15.75" customHeight="1">
      <c r="B489" s="8"/>
      <c r="C489" s="9"/>
      <c r="D489" s="6"/>
      <c r="E489" s="10"/>
      <c r="F489" s="6"/>
    </row>
    <row r="490" ht="15.75" customHeight="1">
      <c r="B490" s="8"/>
      <c r="C490" s="9"/>
      <c r="D490" s="6"/>
      <c r="E490" s="10"/>
      <c r="F490" s="6"/>
    </row>
    <row r="491" ht="15.75" customHeight="1">
      <c r="B491" s="8"/>
      <c r="C491" s="9"/>
      <c r="D491" s="6"/>
      <c r="E491" s="10"/>
      <c r="F491" s="6"/>
    </row>
    <row r="492" ht="15.75" customHeight="1">
      <c r="B492" s="8"/>
      <c r="C492" s="9"/>
      <c r="D492" s="6"/>
      <c r="E492" s="10"/>
      <c r="F492" s="6"/>
    </row>
    <row r="493" ht="15.75" customHeight="1">
      <c r="B493" s="8"/>
      <c r="C493" s="9"/>
      <c r="D493" s="6"/>
      <c r="E493" s="10"/>
      <c r="F493" s="6"/>
    </row>
    <row r="494" ht="15.75" customHeight="1">
      <c r="B494" s="8"/>
      <c r="C494" s="9"/>
      <c r="D494" s="6"/>
      <c r="E494" s="10"/>
      <c r="F494" s="6"/>
    </row>
    <row r="495" ht="15.75" customHeight="1">
      <c r="B495" s="8"/>
      <c r="C495" s="9"/>
      <c r="D495" s="6"/>
      <c r="E495" s="10"/>
      <c r="F495" s="6"/>
    </row>
    <row r="496" ht="15.75" customHeight="1">
      <c r="B496" s="8"/>
      <c r="C496" s="9"/>
      <c r="D496" s="6"/>
      <c r="E496" s="10"/>
      <c r="F496" s="6"/>
    </row>
    <row r="497" ht="15.75" customHeight="1">
      <c r="B497" s="8"/>
      <c r="C497" s="9"/>
      <c r="D497" s="6"/>
      <c r="E497" s="10"/>
      <c r="F497" s="6"/>
    </row>
    <row r="498" ht="15.75" customHeight="1">
      <c r="B498" s="8"/>
      <c r="C498" s="9"/>
      <c r="D498" s="6"/>
      <c r="E498" s="10"/>
      <c r="F498" s="6"/>
    </row>
    <row r="499" ht="15.75" customHeight="1">
      <c r="B499" s="8"/>
      <c r="C499" s="9"/>
      <c r="D499" s="6"/>
      <c r="E499" s="10"/>
      <c r="F499" s="6"/>
    </row>
    <row r="500" ht="15.75" customHeight="1">
      <c r="B500" s="8"/>
      <c r="C500" s="9"/>
      <c r="D500" s="6"/>
      <c r="E500" s="10"/>
      <c r="F500" s="6"/>
    </row>
    <row r="501" ht="15.75" customHeight="1">
      <c r="B501" s="8"/>
      <c r="C501" s="9"/>
      <c r="D501" s="6"/>
      <c r="E501" s="10"/>
      <c r="F501" s="6"/>
    </row>
    <row r="502" ht="15.75" customHeight="1">
      <c r="B502" s="8"/>
      <c r="C502" s="9"/>
      <c r="D502" s="6"/>
      <c r="E502" s="10"/>
      <c r="F502" s="6"/>
    </row>
    <row r="503" ht="15.75" customHeight="1">
      <c r="B503" s="8"/>
      <c r="C503" s="9"/>
      <c r="D503" s="6"/>
      <c r="E503" s="10"/>
      <c r="F503" s="6"/>
    </row>
    <row r="504" ht="15.75" customHeight="1">
      <c r="B504" s="8"/>
      <c r="C504" s="9"/>
      <c r="D504" s="6"/>
      <c r="E504" s="10"/>
      <c r="F504" s="6"/>
    </row>
    <row r="505" ht="15.75" customHeight="1">
      <c r="B505" s="8"/>
      <c r="C505" s="9"/>
      <c r="D505" s="6"/>
      <c r="E505" s="10"/>
      <c r="F505" s="6"/>
    </row>
    <row r="506" ht="15.75" customHeight="1">
      <c r="B506" s="8"/>
      <c r="C506" s="9"/>
      <c r="D506" s="6"/>
      <c r="E506" s="10"/>
      <c r="F506" s="6"/>
    </row>
    <row r="507" ht="15.75" customHeight="1">
      <c r="B507" s="8"/>
      <c r="C507" s="9"/>
      <c r="D507" s="6"/>
      <c r="E507" s="10"/>
      <c r="F507" s="6"/>
    </row>
    <row r="508" ht="15.75" customHeight="1">
      <c r="B508" s="8"/>
      <c r="C508" s="9"/>
      <c r="D508" s="6"/>
      <c r="E508" s="10"/>
      <c r="F508" s="6"/>
    </row>
    <row r="509" ht="15.75" customHeight="1">
      <c r="B509" s="8"/>
      <c r="C509" s="9"/>
      <c r="D509" s="6"/>
      <c r="E509" s="10"/>
      <c r="F509" s="6"/>
    </row>
    <row r="510" ht="15.75" customHeight="1">
      <c r="B510" s="8"/>
      <c r="C510" s="9"/>
      <c r="D510" s="6"/>
      <c r="E510" s="10"/>
      <c r="F510" s="6"/>
    </row>
    <row r="511" ht="15.75" customHeight="1">
      <c r="B511" s="8"/>
      <c r="C511" s="9"/>
      <c r="D511" s="6"/>
      <c r="E511" s="10"/>
      <c r="F511" s="6"/>
    </row>
    <row r="512" ht="15.75" customHeight="1">
      <c r="B512" s="8"/>
      <c r="C512" s="9"/>
      <c r="D512" s="6"/>
      <c r="E512" s="10"/>
      <c r="F512" s="6"/>
    </row>
    <row r="513" ht="15.75" customHeight="1">
      <c r="B513" s="8"/>
      <c r="C513" s="9"/>
      <c r="D513" s="6"/>
      <c r="E513" s="10"/>
      <c r="F513" s="6"/>
    </row>
    <row r="514" ht="15.75" customHeight="1">
      <c r="B514" s="8"/>
      <c r="C514" s="9"/>
      <c r="D514" s="6"/>
      <c r="E514" s="10"/>
      <c r="F514" s="6"/>
    </row>
    <row r="515" ht="15.75" customHeight="1">
      <c r="B515" s="8"/>
      <c r="C515" s="9"/>
      <c r="D515" s="6"/>
      <c r="E515" s="10"/>
      <c r="F515" s="6"/>
    </row>
    <row r="516" ht="15.75" customHeight="1">
      <c r="B516" s="8"/>
      <c r="C516" s="9"/>
      <c r="D516" s="6"/>
      <c r="E516" s="10"/>
      <c r="F516" s="6"/>
    </row>
    <row r="517" ht="15.75" customHeight="1">
      <c r="B517" s="8"/>
      <c r="C517" s="9"/>
      <c r="D517" s="6"/>
      <c r="E517" s="10"/>
      <c r="F517" s="6"/>
    </row>
    <row r="518" ht="15.75" customHeight="1">
      <c r="B518" s="8"/>
      <c r="C518" s="9"/>
      <c r="D518" s="6"/>
      <c r="E518" s="10"/>
      <c r="F518" s="6"/>
    </row>
    <row r="519" ht="15.75" customHeight="1">
      <c r="B519" s="8"/>
      <c r="C519" s="9"/>
      <c r="D519" s="6"/>
      <c r="E519" s="10"/>
      <c r="F519" s="6"/>
    </row>
    <row r="520" ht="15.75" customHeight="1">
      <c r="B520" s="8"/>
      <c r="C520" s="9"/>
      <c r="D520" s="6"/>
      <c r="E520" s="10"/>
      <c r="F520" s="6"/>
    </row>
    <row r="521" ht="15.75" customHeight="1">
      <c r="B521" s="8"/>
      <c r="C521" s="9"/>
      <c r="D521" s="6"/>
      <c r="E521" s="10"/>
      <c r="F521" s="6"/>
    </row>
    <row r="522" ht="15.75" customHeight="1">
      <c r="B522" s="8"/>
      <c r="C522" s="9"/>
      <c r="D522" s="6"/>
      <c r="E522" s="10"/>
      <c r="F522" s="6"/>
    </row>
    <row r="523" ht="15.75" customHeight="1">
      <c r="B523" s="8"/>
      <c r="C523" s="9"/>
      <c r="D523" s="6"/>
      <c r="E523" s="10"/>
      <c r="F523" s="6"/>
    </row>
    <row r="524" ht="15.75" customHeight="1">
      <c r="B524" s="8"/>
      <c r="C524" s="9"/>
      <c r="D524" s="6"/>
      <c r="E524" s="10"/>
      <c r="F524" s="6"/>
    </row>
    <row r="525" ht="15.75" customHeight="1">
      <c r="B525" s="8"/>
      <c r="C525" s="9"/>
      <c r="D525" s="6"/>
      <c r="E525" s="10"/>
      <c r="F525" s="6"/>
    </row>
    <row r="526" ht="15.75" customHeight="1">
      <c r="B526" s="8"/>
      <c r="C526" s="9"/>
      <c r="D526" s="6"/>
      <c r="E526" s="10"/>
      <c r="F526" s="6"/>
    </row>
    <row r="527" ht="15.75" customHeight="1">
      <c r="B527" s="8"/>
      <c r="C527" s="9"/>
      <c r="D527" s="6"/>
      <c r="E527" s="10"/>
      <c r="F527" s="6"/>
    </row>
    <row r="528" ht="15.75" customHeight="1">
      <c r="B528" s="8"/>
      <c r="C528" s="9"/>
      <c r="D528" s="6"/>
      <c r="E528" s="10"/>
      <c r="F528" s="6"/>
    </row>
    <row r="529" ht="15.75" customHeight="1">
      <c r="B529" s="8"/>
      <c r="C529" s="9"/>
      <c r="D529" s="6"/>
      <c r="E529" s="10"/>
      <c r="F529" s="6"/>
    </row>
    <row r="530" ht="15.75" customHeight="1">
      <c r="B530" s="8"/>
      <c r="C530" s="9"/>
      <c r="D530" s="6"/>
      <c r="E530" s="10"/>
      <c r="F530" s="6"/>
    </row>
    <row r="531" ht="15.75" customHeight="1">
      <c r="B531" s="8"/>
      <c r="C531" s="9"/>
      <c r="D531" s="6"/>
      <c r="E531" s="10"/>
      <c r="F531" s="6"/>
    </row>
    <row r="532" ht="15.75" customHeight="1">
      <c r="B532" s="8"/>
      <c r="C532" s="9"/>
      <c r="D532" s="6"/>
      <c r="E532" s="10"/>
      <c r="F532" s="6"/>
    </row>
    <row r="533" ht="15.75" customHeight="1">
      <c r="B533" s="8"/>
      <c r="C533" s="9"/>
      <c r="D533" s="6"/>
      <c r="E533" s="10"/>
      <c r="F533" s="6"/>
    </row>
    <row r="534" ht="15.75" customHeight="1">
      <c r="B534" s="8"/>
      <c r="C534" s="9"/>
      <c r="D534" s="6"/>
      <c r="E534" s="10"/>
      <c r="F534" s="6"/>
    </row>
    <row r="535" ht="15.75" customHeight="1">
      <c r="B535" s="8"/>
      <c r="C535" s="9"/>
      <c r="D535" s="6"/>
      <c r="E535" s="10"/>
      <c r="F535" s="6"/>
    </row>
    <row r="536" ht="15.75" customHeight="1">
      <c r="B536" s="8"/>
      <c r="C536" s="9"/>
      <c r="D536" s="6"/>
      <c r="E536" s="10"/>
      <c r="F536" s="6"/>
    </row>
    <row r="537" ht="15.75" customHeight="1">
      <c r="B537" s="8"/>
      <c r="C537" s="9"/>
      <c r="D537" s="6"/>
      <c r="E537" s="10"/>
      <c r="F537" s="6"/>
    </row>
    <row r="538" ht="15.75" customHeight="1">
      <c r="B538" s="8"/>
      <c r="C538" s="9"/>
      <c r="D538" s="6"/>
      <c r="E538" s="10"/>
      <c r="F538" s="6"/>
    </row>
    <row r="539" ht="15.75" customHeight="1">
      <c r="B539" s="8"/>
      <c r="C539" s="9"/>
      <c r="D539" s="6"/>
      <c r="E539" s="10"/>
      <c r="F539" s="6"/>
    </row>
    <row r="540" ht="15.75" customHeight="1">
      <c r="B540" s="8"/>
      <c r="C540" s="9"/>
      <c r="D540" s="6"/>
      <c r="E540" s="10"/>
      <c r="F540" s="6"/>
    </row>
    <row r="541" ht="15.75" customHeight="1">
      <c r="B541" s="8"/>
      <c r="C541" s="9"/>
      <c r="D541" s="6"/>
      <c r="E541" s="10"/>
      <c r="F541" s="6"/>
    </row>
    <row r="542" ht="15.75" customHeight="1">
      <c r="B542" s="8"/>
      <c r="C542" s="9"/>
      <c r="D542" s="6"/>
      <c r="E542" s="10"/>
      <c r="F542" s="6"/>
    </row>
    <row r="543" ht="15.75" customHeight="1">
      <c r="B543" s="8"/>
      <c r="C543" s="9"/>
      <c r="D543" s="6"/>
      <c r="E543" s="10"/>
      <c r="F543" s="6"/>
    </row>
    <row r="544" ht="15.75" customHeight="1">
      <c r="B544" s="8"/>
      <c r="C544" s="9"/>
      <c r="D544" s="6"/>
      <c r="E544" s="10"/>
      <c r="F544" s="6"/>
    </row>
    <row r="545" ht="15.75" customHeight="1">
      <c r="B545" s="8"/>
      <c r="C545" s="9"/>
      <c r="D545" s="6"/>
      <c r="E545" s="10"/>
      <c r="F545" s="6"/>
    </row>
    <row r="546" ht="15.75" customHeight="1">
      <c r="B546" s="8"/>
      <c r="C546" s="9"/>
      <c r="D546" s="6"/>
      <c r="E546" s="10"/>
      <c r="F546" s="6"/>
    </row>
    <row r="547" ht="15.75" customHeight="1">
      <c r="B547" s="8"/>
      <c r="C547" s="9"/>
      <c r="D547" s="6"/>
      <c r="E547" s="10"/>
      <c r="F547" s="6"/>
    </row>
    <row r="548" ht="15.75" customHeight="1">
      <c r="B548" s="8"/>
      <c r="C548" s="9"/>
      <c r="D548" s="6"/>
      <c r="E548" s="10"/>
      <c r="F548" s="6"/>
    </row>
    <row r="549" ht="15.75" customHeight="1">
      <c r="B549" s="8"/>
      <c r="C549" s="9"/>
      <c r="D549" s="6"/>
      <c r="E549" s="10"/>
      <c r="F549" s="6"/>
    </row>
    <row r="550" ht="15.75" customHeight="1">
      <c r="B550" s="8"/>
      <c r="C550" s="9"/>
      <c r="D550" s="6"/>
      <c r="E550" s="10"/>
      <c r="F550" s="6"/>
    </row>
    <row r="551" ht="15.75" customHeight="1">
      <c r="B551" s="8"/>
      <c r="C551" s="9"/>
      <c r="D551" s="6"/>
      <c r="E551" s="10"/>
      <c r="F551" s="6"/>
    </row>
    <row r="552" ht="15.75" customHeight="1">
      <c r="B552" s="8"/>
      <c r="C552" s="9"/>
      <c r="D552" s="6"/>
      <c r="E552" s="10"/>
      <c r="F552" s="6"/>
    </row>
    <row r="553" ht="15.75" customHeight="1">
      <c r="B553" s="8"/>
      <c r="C553" s="9"/>
      <c r="D553" s="6"/>
      <c r="E553" s="10"/>
      <c r="F553" s="6"/>
    </row>
    <row r="554" ht="15.75" customHeight="1">
      <c r="B554" s="8"/>
      <c r="C554" s="9"/>
      <c r="D554" s="6"/>
      <c r="E554" s="10"/>
      <c r="F554" s="6"/>
    </row>
    <row r="555" ht="15.75" customHeight="1">
      <c r="B555" s="8"/>
      <c r="C555" s="9"/>
      <c r="D555" s="6"/>
      <c r="E555" s="10"/>
      <c r="F555" s="6"/>
    </row>
    <row r="556" ht="15.75" customHeight="1">
      <c r="B556" s="8"/>
      <c r="C556" s="9"/>
      <c r="D556" s="6"/>
      <c r="E556" s="10"/>
      <c r="F556" s="6"/>
    </row>
    <row r="557" ht="15.75" customHeight="1">
      <c r="B557" s="8"/>
      <c r="C557" s="9"/>
      <c r="D557" s="6"/>
      <c r="E557" s="10"/>
      <c r="F557" s="6"/>
    </row>
    <row r="558" ht="15.75" customHeight="1">
      <c r="B558" s="8"/>
      <c r="C558" s="9"/>
      <c r="D558" s="6"/>
      <c r="E558" s="10"/>
      <c r="F558" s="6"/>
    </row>
    <row r="559" ht="15.75" customHeight="1">
      <c r="B559" s="8"/>
      <c r="C559" s="9"/>
      <c r="D559" s="6"/>
      <c r="E559" s="10"/>
      <c r="F559" s="6"/>
    </row>
    <row r="560" ht="15.75" customHeight="1">
      <c r="B560" s="8"/>
      <c r="C560" s="9"/>
      <c r="D560" s="6"/>
      <c r="E560" s="10"/>
      <c r="F560" s="6"/>
    </row>
    <row r="561" ht="15.75" customHeight="1">
      <c r="B561" s="8"/>
      <c r="C561" s="9"/>
      <c r="D561" s="6"/>
      <c r="E561" s="10"/>
      <c r="F561" s="6"/>
    </row>
    <row r="562" ht="15.75" customHeight="1">
      <c r="B562" s="8"/>
      <c r="C562" s="9"/>
      <c r="D562" s="6"/>
      <c r="E562" s="10"/>
      <c r="F562" s="6"/>
    </row>
    <row r="563" ht="15.75" customHeight="1">
      <c r="B563" s="8"/>
      <c r="C563" s="9"/>
      <c r="D563" s="6"/>
      <c r="E563" s="10"/>
      <c r="F563" s="6"/>
    </row>
    <row r="564" ht="15.75" customHeight="1">
      <c r="B564" s="8"/>
      <c r="C564" s="9"/>
      <c r="D564" s="6"/>
      <c r="E564" s="10"/>
      <c r="F564" s="6"/>
    </row>
    <row r="565" ht="15.75" customHeight="1">
      <c r="B565" s="8"/>
      <c r="C565" s="9"/>
      <c r="D565" s="6"/>
      <c r="E565" s="10"/>
      <c r="F565" s="6"/>
    </row>
    <row r="566" ht="15.75" customHeight="1">
      <c r="B566" s="8"/>
      <c r="C566" s="9"/>
      <c r="D566" s="6"/>
      <c r="E566" s="10"/>
      <c r="F566" s="6"/>
    </row>
    <row r="567" ht="15.75" customHeight="1">
      <c r="B567" s="8"/>
      <c r="C567" s="9"/>
      <c r="D567" s="6"/>
      <c r="E567" s="10"/>
      <c r="F567" s="6"/>
    </row>
    <row r="568" ht="15.75" customHeight="1">
      <c r="B568" s="8"/>
      <c r="C568" s="9"/>
      <c r="D568" s="6"/>
      <c r="E568" s="10"/>
      <c r="F568" s="6"/>
    </row>
    <row r="569" ht="15.75" customHeight="1">
      <c r="B569" s="8"/>
      <c r="C569" s="9"/>
      <c r="D569" s="6"/>
      <c r="E569" s="10"/>
      <c r="F569" s="6"/>
    </row>
    <row r="570" ht="15.75" customHeight="1">
      <c r="B570" s="8"/>
      <c r="C570" s="9"/>
      <c r="D570" s="6"/>
      <c r="E570" s="10"/>
      <c r="F570" s="6"/>
    </row>
    <row r="571" ht="15.75" customHeight="1">
      <c r="B571" s="8"/>
      <c r="C571" s="9"/>
      <c r="D571" s="6"/>
      <c r="E571" s="10"/>
      <c r="F571" s="6"/>
    </row>
    <row r="572" ht="15.75" customHeight="1">
      <c r="B572" s="8"/>
      <c r="C572" s="9"/>
      <c r="D572" s="6"/>
      <c r="E572" s="10"/>
      <c r="F572" s="6"/>
    </row>
    <row r="573" ht="15.75" customHeight="1">
      <c r="B573" s="8"/>
      <c r="C573" s="9"/>
      <c r="D573" s="6"/>
      <c r="E573" s="10"/>
      <c r="F573" s="6"/>
    </row>
    <row r="574" ht="15.75" customHeight="1">
      <c r="B574" s="8"/>
      <c r="C574" s="9"/>
      <c r="D574" s="6"/>
      <c r="E574" s="10"/>
      <c r="F574" s="6"/>
    </row>
    <row r="575" ht="15.75" customHeight="1">
      <c r="B575" s="8"/>
      <c r="C575" s="9"/>
      <c r="D575" s="6"/>
      <c r="E575" s="10"/>
      <c r="F575" s="6"/>
    </row>
    <row r="576" ht="15.75" customHeight="1">
      <c r="B576" s="8"/>
      <c r="C576" s="9"/>
      <c r="D576" s="6"/>
      <c r="E576" s="10"/>
      <c r="F576" s="6"/>
    </row>
    <row r="577" ht="15.75" customHeight="1">
      <c r="B577" s="8"/>
      <c r="C577" s="9"/>
      <c r="D577" s="6"/>
      <c r="E577" s="10"/>
      <c r="F577" s="6"/>
    </row>
    <row r="578" ht="15.75" customHeight="1">
      <c r="B578" s="8"/>
      <c r="C578" s="9"/>
      <c r="D578" s="6"/>
      <c r="E578" s="10"/>
      <c r="F578" s="6"/>
    </row>
    <row r="579" ht="15.75" customHeight="1">
      <c r="B579" s="8"/>
      <c r="C579" s="9"/>
      <c r="D579" s="6"/>
      <c r="E579" s="10"/>
      <c r="F579" s="6"/>
    </row>
    <row r="580" ht="15.75" customHeight="1">
      <c r="B580" s="8"/>
      <c r="C580" s="9"/>
      <c r="D580" s="6"/>
      <c r="E580" s="10"/>
      <c r="F580" s="6"/>
    </row>
    <row r="581" ht="15.75" customHeight="1">
      <c r="B581" s="8"/>
      <c r="C581" s="9"/>
      <c r="D581" s="6"/>
      <c r="E581" s="10"/>
      <c r="F581" s="6"/>
    </row>
    <row r="582" ht="15.75" customHeight="1">
      <c r="B582" s="8"/>
      <c r="C582" s="9"/>
      <c r="D582" s="6"/>
      <c r="E582" s="10"/>
      <c r="F582" s="6"/>
    </row>
    <row r="583" ht="15.75" customHeight="1">
      <c r="B583" s="8"/>
      <c r="C583" s="9"/>
      <c r="D583" s="6"/>
      <c r="E583" s="10"/>
      <c r="F583" s="6"/>
    </row>
    <row r="584" ht="15.75" customHeight="1">
      <c r="B584" s="8"/>
      <c r="C584" s="9"/>
      <c r="D584" s="6"/>
      <c r="E584" s="10"/>
      <c r="F584" s="6"/>
    </row>
    <row r="585" ht="15.75" customHeight="1">
      <c r="B585" s="8"/>
      <c r="C585" s="9"/>
      <c r="D585" s="6"/>
      <c r="E585" s="10"/>
      <c r="F585" s="6"/>
    </row>
    <row r="586" ht="15.75" customHeight="1">
      <c r="B586" s="8"/>
      <c r="C586" s="9"/>
      <c r="D586" s="6"/>
      <c r="E586" s="10"/>
      <c r="F586" s="6"/>
    </row>
    <row r="587" ht="15.75" customHeight="1">
      <c r="B587" s="8"/>
      <c r="C587" s="9"/>
      <c r="D587" s="6"/>
      <c r="E587" s="10"/>
      <c r="F587" s="6"/>
    </row>
    <row r="588" ht="15.75" customHeight="1">
      <c r="B588" s="8"/>
      <c r="C588" s="9"/>
      <c r="D588" s="6"/>
      <c r="E588" s="10"/>
      <c r="F588" s="6"/>
    </row>
    <row r="589" ht="15.75" customHeight="1">
      <c r="B589" s="8"/>
      <c r="C589" s="9"/>
      <c r="D589" s="6"/>
      <c r="E589" s="10"/>
      <c r="F589" s="6"/>
    </row>
    <row r="590" ht="15.75" customHeight="1">
      <c r="B590" s="8"/>
      <c r="C590" s="9"/>
      <c r="D590" s="6"/>
      <c r="E590" s="10"/>
      <c r="F590" s="6"/>
    </row>
    <row r="591" ht="15.75" customHeight="1">
      <c r="B591" s="8"/>
      <c r="C591" s="9"/>
      <c r="D591" s="6"/>
      <c r="E591" s="10"/>
      <c r="F591" s="6"/>
    </row>
    <row r="592" ht="15.75" customHeight="1">
      <c r="B592" s="8"/>
      <c r="C592" s="9"/>
      <c r="D592" s="6"/>
      <c r="E592" s="10"/>
      <c r="F592" s="6"/>
    </row>
    <row r="593" ht="15.75" customHeight="1">
      <c r="B593" s="8"/>
      <c r="C593" s="9"/>
      <c r="D593" s="6"/>
      <c r="E593" s="10"/>
      <c r="F593" s="6"/>
    </row>
    <row r="594" ht="15.75" customHeight="1">
      <c r="B594" s="8"/>
      <c r="C594" s="9"/>
      <c r="D594" s="6"/>
      <c r="E594" s="10"/>
      <c r="F594" s="6"/>
    </row>
    <row r="595" ht="15.75" customHeight="1">
      <c r="B595" s="8"/>
      <c r="C595" s="9"/>
      <c r="D595" s="6"/>
      <c r="E595" s="10"/>
      <c r="F595" s="6"/>
    </row>
    <row r="596" ht="15.75" customHeight="1">
      <c r="B596" s="8"/>
      <c r="C596" s="9"/>
      <c r="D596" s="6"/>
      <c r="E596" s="10"/>
      <c r="F596" s="6"/>
    </row>
    <row r="597" ht="15.75" customHeight="1">
      <c r="B597" s="8"/>
      <c r="C597" s="9"/>
      <c r="D597" s="6"/>
      <c r="E597" s="10"/>
      <c r="F597" s="6"/>
    </row>
    <row r="598" ht="15.75" customHeight="1">
      <c r="B598" s="8"/>
      <c r="C598" s="9"/>
      <c r="D598" s="6"/>
      <c r="E598" s="10"/>
      <c r="F598" s="6"/>
    </row>
    <row r="599" ht="15.75" customHeight="1">
      <c r="B599" s="8"/>
      <c r="C599" s="9"/>
      <c r="D599" s="6"/>
      <c r="E599" s="10"/>
      <c r="F599" s="6"/>
    </row>
    <row r="600" ht="15.75" customHeight="1">
      <c r="B600" s="8"/>
      <c r="C600" s="9"/>
      <c r="D600" s="6"/>
      <c r="E600" s="10"/>
      <c r="F600" s="6"/>
    </row>
    <row r="601" ht="15.75" customHeight="1">
      <c r="B601" s="8"/>
      <c r="C601" s="9"/>
      <c r="D601" s="6"/>
      <c r="E601" s="10"/>
      <c r="F601" s="6"/>
    </row>
    <row r="602" ht="15.75" customHeight="1">
      <c r="B602" s="8"/>
      <c r="C602" s="9"/>
      <c r="D602" s="6"/>
      <c r="E602" s="10"/>
      <c r="F602" s="6"/>
    </row>
    <row r="603" ht="15.75" customHeight="1">
      <c r="B603" s="8"/>
      <c r="C603" s="9"/>
      <c r="D603" s="6"/>
      <c r="E603" s="10"/>
      <c r="F603" s="6"/>
    </row>
    <row r="604" ht="15.75" customHeight="1">
      <c r="B604" s="8"/>
      <c r="C604" s="9"/>
      <c r="D604" s="6"/>
      <c r="E604" s="10"/>
      <c r="F604" s="6"/>
    </row>
    <row r="605" ht="15.75" customHeight="1">
      <c r="B605" s="8"/>
      <c r="C605" s="9"/>
      <c r="D605" s="6"/>
      <c r="E605" s="10"/>
      <c r="F605" s="6"/>
    </row>
    <row r="606" ht="15.75" customHeight="1">
      <c r="B606" s="8"/>
      <c r="C606" s="9"/>
      <c r="D606" s="6"/>
      <c r="E606" s="10"/>
      <c r="F606" s="6"/>
    </row>
    <row r="607" ht="15.75" customHeight="1">
      <c r="B607" s="8"/>
      <c r="C607" s="9"/>
      <c r="D607" s="6"/>
      <c r="E607" s="10"/>
      <c r="F607" s="6"/>
    </row>
    <row r="608" ht="15.75" customHeight="1">
      <c r="B608" s="8"/>
      <c r="C608" s="9"/>
      <c r="D608" s="6"/>
      <c r="E608" s="10"/>
      <c r="F608" s="6"/>
    </row>
    <row r="609" ht="15.75" customHeight="1">
      <c r="B609" s="8"/>
      <c r="C609" s="9"/>
      <c r="D609" s="6"/>
      <c r="E609" s="10"/>
      <c r="F609" s="6"/>
    </row>
    <row r="610" ht="15.75" customHeight="1">
      <c r="B610" s="8"/>
      <c r="C610" s="9"/>
      <c r="D610" s="6"/>
      <c r="E610" s="10"/>
      <c r="F610" s="6"/>
    </row>
    <row r="611" ht="15.75" customHeight="1">
      <c r="B611" s="8"/>
      <c r="C611" s="9"/>
      <c r="D611" s="6"/>
      <c r="E611" s="10"/>
      <c r="F611" s="6"/>
    </row>
    <row r="612" ht="15.75" customHeight="1">
      <c r="B612" s="8"/>
      <c r="C612" s="9"/>
      <c r="D612" s="6"/>
      <c r="E612" s="10"/>
      <c r="F612" s="6"/>
    </row>
    <row r="613" ht="15.75" customHeight="1">
      <c r="B613" s="8"/>
      <c r="C613" s="9"/>
      <c r="D613" s="6"/>
      <c r="E613" s="10"/>
      <c r="F613" s="6"/>
    </row>
    <row r="614" ht="15.75" customHeight="1">
      <c r="B614" s="8"/>
      <c r="C614" s="9"/>
      <c r="D614" s="6"/>
      <c r="E614" s="10"/>
      <c r="F614" s="6"/>
    </row>
    <row r="615" ht="15.75" customHeight="1">
      <c r="B615" s="8"/>
      <c r="C615" s="9"/>
      <c r="D615" s="6"/>
      <c r="E615" s="10"/>
      <c r="F615" s="6"/>
    </row>
    <row r="616" ht="15.75" customHeight="1">
      <c r="B616" s="8"/>
      <c r="C616" s="9"/>
      <c r="D616" s="6"/>
      <c r="E616" s="10"/>
      <c r="F616" s="6"/>
    </row>
    <row r="617" ht="15.75" customHeight="1">
      <c r="B617" s="8"/>
      <c r="C617" s="9"/>
      <c r="D617" s="6"/>
      <c r="E617" s="10"/>
      <c r="F617" s="6"/>
    </row>
    <row r="618" ht="15.75" customHeight="1">
      <c r="B618" s="8"/>
      <c r="C618" s="9"/>
      <c r="D618" s="6"/>
      <c r="E618" s="10"/>
      <c r="F618" s="6"/>
    </row>
    <row r="619" ht="15.75" customHeight="1">
      <c r="B619" s="8"/>
      <c r="C619" s="9"/>
      <c r="D619" s="6"/>
      <c r="E619" s="10"/>
      <c r="F619" s="6"/>
    </row>
    <row r="620" ht="15.75" customHeight="1">
      <c r="B620" s="8"/>
      <c r="C620" s="9"/>
      <c r="D620" s="6"/>
      <c r="E620" s="10"/>
      <c r="F620" s="6"/>
    </row>
    <row r="621" ht="15.75" customHeight="1">
      <c r="B621" s="8"/>
      <c r="C621" s="9"/>
      <c r="D621" s="6"/>
      <c r="E621" s="10"/>
      <c r="F621" s="6"/>
    </row>
    <row r="622" ht="15.75" customHeight="1">
      <c r="B622" s="8"/>
      <c r="C622" s="9"/>
      <c r="D622" s="6"/>
      <c r="E622" s="10"/>
      <c r="F622" s="6"/>
    </row>
    <row r="623" ht="15.75" customHeight="1">
      <c r="B623" s="8"/>
      <c r="C623" s="9"/>
      <c r="D623" s="6"/>
      <c r="E623" s="10"/>
      <c r="F623" s="6"/>
    </row>
    <row r="624" ht="15.75" customHeight="1">
      <c r="B624" s="8"/>
      <c r="C624" s="9"/>
      <c r="D624" s="6"/>
      <c r="E624" s="10"/>
      <c r="F624" s="6"/>
    </row>
    <row r="625" ht="15.75" customHeight="1">
      <c r="B625" s="8"/>
      <c r="C625" s="9"/>
      <c r="D625" s="6"/>
      <c r="E625" s="10"/>
      <c r="F625" s="6"/>
    </row>
    <row r="626" ht="15.75" customHeight="1">
      <c r="B626" s="8"/>
      <c r="C626" s="9"/>
      <c r="D626" s="6"/>
      <c r="E626" s="10"/>
      <c r="F626" s="6"/>
    </row>
    <row r="627" ht="15.75" customHeight="1">
      <c r="B627" s="8"/>
      <c r="C627" s="9"/>
      <c r="D627" s="6"/>
      <c r="E627" s="10"/>
      <c r="F627" s="6"/>
    </row>
    <row r="628" ht="15.75" customHeight="1">
      <c r="B628" s="8"/>
      <c r="C628" s="9"/>
      <c r="D628" s="6"/>
      <c r="E628" s="10"/>
      <c r="F628" s="6"/>
    </row>
    <row r="629" ht="15.75" customHeight="1">
      <c r="B629" s="8"/>
      <c r="C629" s="9"/>
      <c r="D629" s="6"/>
      <c r="E629" s="10"/>
      <c r="F629" s="6"/>
    </row>
    <row r="630" ht="15.75" customHeight="1">
      <c r="B630" s="8"/>
      <c r="C630" s="9"/>
      <c r="D630" s="6"/>
      <c r="E630" s="10"/>
      <c r="F630" s="6"/>
    </row>
    <row r="631" ht="15.75" customHeight="1">
      <c r="B631" s="8"/>
      <c r="C631" s="9"/>
      <c r="D631" s="6"/>
      <c r="E631" s="10"/>
      <c r="F631" s="6"/>
    </row>
    <row r="632" ht="15.75" customHeight="1">
      <c r="B632" s="8"/>
      <c r="C632" s="9"/>
      <c r="D632" s="6"/>
      <c r="E632" s="10"/>
      <c r="F632" s="6"/>
    </row>
    <row r="633" ht="15.75" customHeight="1">
      <c r="B633" s="8"/>
      <c r="C633" s="9"/>
      <c r="D633" s="6"/>
      <c r="E633" s="10"/>
      <c r="F633" s="6"/>
    </row>
    <row r="634" ht="15.75" customHeight="1">
      <c r="B634" s="8"/>
      <c r="C634" s="9"/>
      <c r="D634" s="6"/>
      <c r="E634" s="10"/>
      <c r="F634" s="6"/>
    </row>
    <row r="635" ht="15.75" customHeight="1">
      <c r="B635" s="8"/>
      <c r="C635" s="9"/>
      <c r="D635" s="6"/>
      <c r="E635" s="10"/>
      <c r="F635" s="6"/>
    </row>
    <row r="636" ht="15.75" customHeight="1">
      <c r="B636" s="8"/>
      <c r="C636" s="9"/>
      <c r="D636" s="6"/>
      <c r="E636" s="10"/>
      <c r="F636" s="6"/>
    </row>
    <row r="637" ht="15.75" customHeight="1">
      <c r="B637" s="8"/>
      <c r="C637" s="9"/>
      <c r="D637" s="6"/>
      <c r="E637" s="10"/>
      <c r="F637" s="6"/>
    </row>
    <row r="638" ht="15.75" customHeight="1">
      <c r="B638" s="8"/>
      <c r="C638" s="9"/>
      <c r="D638" s="6"/>
      <c r="E638" s="10"/>
      <c r="F638" s="6"/>
    </row>
    <row r="639" ht="15.75" customHeight="1">
      <c r="B639" s="8"/>
      <c r="C639" s="9"/>
      <c r="D639" s="6"/>
      <c r="E639" s="10"/>
      <c r="F639" s="6"/>
    </row>
    <row r="640" ht="15.75" customHeight="1">
      <c r="B640" s="8"/>
      <c r="C640" s="9"/>
      <c r="D640" s="6"/>
      <c r="E640" s="10"/>
      <c r="F640" s="6"/>
    </row>
    <row r="641" ht="15.75" customHeight="1">
      <c r="B641" s="8"/>
      <c r="C641" s="9"/>
      <c r="D641" s="6"/>
      <c r="E641" s="10"/>
      <c r="F641" s="6"/>
    </row>
    <row r="642" ht="15.75" customHeight="1">
      <c r="B642" s="8"/>
      <c r="C642" s="9"/>
      <c r="D642" s="6"/>
      <c r="E642" s="10"/>
      <c r="F642" s="6"/>
    </row>
    <row r="643" ht="15.75" customHeight="1">
      <c r="B643" s="8"/>
      <c r="C643" s="9"/>
      <c r="D643" s="6"/>
      <c r="E643" s="10"/>
      <c r="F643" s="6"/>
    </row>
    <row r="644" ht="15.75" customHeight="1">
      <c r="B644" s="8"/>
      <c r="C644" s="9"/>
      <c r="D644" s="6"/>
      <c r="E644" s="10"/>
      <c r="F644" s="6"/>
    </row>
    <row r="645" ht="15.75" customHeight="1">
      <c r="B645" s="8"/>
      <c r="C645" s="9"/>
      <c r="D645" s="6"/>
      <c r="E645" s="10"/>
      <c r="F645" s="6"/>
    </row>
    <row r="646" ht="15.75" customHeight="1">
      <c r="B646" s="8"/>
      <c r="C646" s="9"/>
      <c r="D646" s="6"/>
      <c r="E646" s="10"/>
      <c r="F646" s="6"/>
    </row>
    <row r="647" ht="15.75" customHeight="1">
      <c r="B647" s="8"/>
      <c r="C647" s="9"/>
      <c r="D647" s="6"/>
      <c r="E647" s="10"/>
      <c r="F647" s="6"/>
    </row>
    <row r="648" ht="15.75" customHeight="1">
      <c r="B648" s="8"/>
      <c r="C648" s="9"/>
      <c r="D648" s="6"/>
      <c r="E648" s="10"/>
      <c r="F648" s="6"/>
    </row>
    <row r="649" ht="15.75" customHeight="1">
      <c r="B649" s="8"/>
      <c r="C649" s="9"/>
      <c r="D649" s="6"/>
      <c r="E649" s="10"/>
      <c r="F649" s="6"/>
    </row>
    <row r="650" ht="15.75" customHeight="1">
      <c r="B650" s="8"/>
      <c r="C650" s="9"/>
      <c r="D650" s="6"/>
      <c r="E650" s="10"/>
      <c r="F650" s="6"/>
    </row>
    <row r="651" ht="15.75" customHeight="1">
      <c r="B651" s="8"/>
      <c r="C651" s="9"/>
      <c r="D651" s="6"/>
      <c r="E651" s="10"/>
      <c r="F651" s="6"/>
    </row>
    <row r="652" ht="15.75" customHeight="1">
      <c r="B652" s="8"/>
      <c r="C652" s="9"/>
      <c r="D652" s="6"/>
      <c r="E652" s="10"/>
      <c r="F652" s="6"/>
    </row>
    <row r="653" ht="15.75" customHeight="1">
      <c r="B653" s="8"/>
      <c r="C653" s="9"/>
      <c r="D653" s="6"/>
      <c r="E653" s="10"/>
      <c r="F653" s="6"/>
    </row>
    <row r="654" ht="15.75" customHeight="1">
      <c r="B654" s="8"/>
      <c r="C654" s="9"/>
      <c r="D654" s="6"/>
      <c r="E654" s="10"/>
      <c r="F654" s="6"/>
    </row>
    <row r="655" ht="15.75" customHeight="1">
      <c r="B655" s="8"/>
      <c r="C655" s="9"/>
      <c r="D655" s="6"/>
      <c r="E655" s="10"/>
      <c r="F655" s="6"/>
    </row>
    <row r="656" ht="15.75" customHeight="1">
      <c r="B656" s="8"/>
      <c r="C656" s="9"/>
      <c r="D656" s="6"/>
      <c r="E656" s="10"/>
      <c r="F656" s="6"/>
    </row>
    <row r="657" ht="15.75" customHeight="1">
      <c r="B657" s="8"/>
      <c r="C657" s="9"/>
      <c r="D657" s="6"/>
      <c r="E657" s="10"/>
      <c r="F657" s="6"/>
    </row>
    <row r="658" ht="15.75" customHeight="1">
      <c r="B658" s="8"/>
      <c r="C658" s="9"/>
      <c r="D658" s="6"/>
      <c r="E658" s="10"/>
      <c r="F658" s="6"/>
    </row>
    <row r="659" ht="15.75" customHeight="1">
      <c r="B659" s="8"/>
      <c r="C659" s="9"/>
      <c r="D659" s="6"/>
      <c r="E659" s="10"/>
      <c r="F659" s="6"/>
    </row>
    <row r="660" ht="15.75" customHeight="1">
      <c r="B660" s="8"/>
      <c r="C660" s="9"/>
      <c r="D660" s="6"/>
      <c r="E660" s="10"/>
      <c r="F660" s="6"/>
    </row>
    <row r="661" ht="15.75" customHeight="1">
      <c r="B661" s="8"/>
      <c r="C661" s="9"/>
      <c r="D661" s="6"/>
      <c r="E661" s="10"/>
      <c r="F661" s="6"/>
    </row>
    <row r="662" ht="15.75" customHeight="1">
      <c r="B662" s="8"/>
      <c r="C662" s="9"/>
      <c r="D662" s="6"/>
      <c r="E662" s="10"/>
      <c r="F662" s="6"/>
    </row>
    <row r="663" ht="15.75" customHeight="1">
      <c r="B663" s="8"/>
      <c r="C663" s="9"/>
      <c r="D663" s="6"/>
      <c r="E663" s="10"/>
      <c r="F663" s="6"/>
    </row>
    <row r="664" ht="15.75" customHeight="1">
      <c r="B664" s="8"/>
      <c r="C664" s="9"/>
      <c r="D664" s="6"/>
      <c r="E664" s="10"/>
      <c r="F664" s="6"/>
    </row>
    <row r="665" ht="15.75" customHeight="1">
      <c r="B665" s="8"/>
      <c r="C665" s="9"/>
      <c r="D665" s="6"/>
      <c r="E665" s="10"/>
      <c r="F665" s="6"/>
    </row>
    <row r="666" ht="15.75" customHeight="1">
      <c r="B666" s="8"/>
      <c r="C666" s="9"/>
      <c r="D666" s="6"/>
      <c r="E666" s="10"/>
      <c r="F666" s="6"/>
    </row>
    <row r="667" ht="15.75" customHeight="1">
      <c r="B667" s="8"/>
      <c r="C667" s="9"/>
      <c r="D667" s="6"/>
      <c r="E667" s="10"/>
      <c r="F667" s="6"/>
    </row>
    <row r="668" ht="15.75" customHeight="1">
      <c r="B668" s="8"/>
      <c r="C668" s="9"/>
      <c r="D668" s="6"/>
      <c r="E668" s="10"/>
      <c r="F668" s="6"/>
    </row>
    <row r="669" ht="15.75" customHeight="1">
      <c r="B669" s="8"/>
      <c r="C669" s="9"/>
      <c r="D669" s="6"/>
      <c r="E669" s="10"/>
      <c r="F669" s="6"/>
    </row>
    <row r="670" ht="15.75" customHeight="1">
      <c r="B670" s="8"/>
      <c r="C670" s="9"/>
      <c r="D670" s="6"/>
      <c r="E670" s="10"/>
      <c r="F670" s="6"/>
    </row>
    <row r="671" ht="15.75" customHeight="1">
      <c r="B671" s="8"/>
      <c r="C671" s="9"/>
      <c r="D671" s="6"/>
      <c r="E671" s="10"/>
      <c r="F671" s="6"/>
    </row>
    <row r="672" ht="15.75" customHeight="1">
      <c r="B672" s="8"/>
      <c r="C672" s="9"/>
      <c r="D672" s="6"/>
      <c r="E672" s="10"/>
      <c r="F672" s="6"/>
    </row>
    <row r="673" ht="15.75" customHeight="1">
      <c r="B673" s="8"/>
      <c r="C673" s="9"/>
      <c r="D673" s="6"/>
      <c r="E673" s="10"/>
      <c r="F673" s="6"/>
    </row>
    <row r="674" ht="15.75" customHeight="1">
      <c r="B674" s="8"/>
      <c r="C674" s="9"/>
      <c r="D674" s="6"/>
      <c r="E674" s="10"/>
      <c r="F674" s="6"/>
    </row>
    <row r="675" ht="15.75" customHeight="1">
      <c r="B675" s="8"/>
      <c r="C675" s="9"/>
      <c r="D675" s="6"/>
      <c r="E675" s="10"/>
      <c r="F675" s="6"/>
    </row>
    <row r="676" ht="15.75" customHeight="1">
      <c r="B676" s="8"/>
      <c r="C676" s="9"/>
      <c r="D676" s="6"/>
      <c r="E676" s="10"/>
      <c r="F676" s="6"/>
    </row>
    <row r="677" ht="15.75" customHeight="1">
      <c r="B677" s="8"/>
      <c r="C677" s="9"/>
      <c r="D677" s="6"/>
      <c r="E677" s="10"/>
      <c r="F677" s="6"/>
    </row>
    <row r="678" ht="15.75" customHeight="1">
      <c r="B678" s="8"/>
      <c r="C678" s="9"/>
      <c r="D678" s="6"/>
      <c r="E678" s="10"/>
      <c r="F678" s="6"/>
    </row>
    <row r="679" ht="15.75" customHeight="1">
      <c r="B679" s="8"/>
      <c r="C679" s="9"/>
      <c r="D679" s="6"/>
      <c r="E679" s="10"/>
      <c r="F679" s="6"/>
    </row>
    <row r="680" ht="15.75" customHeight="1">
      <c r="B680" s="8"/>
      <c r="C680" s="9"/>
      <c r="D680" s="6"/>
      <c r="E680" s="10"/>
      <c r="F680" s="6"/>
    </row>
    <row r="681" ht="15.75" customHeight="1">
      <c r="B681" s="8"/>
      <c r="C681" s="9"/>
      <c r="D681" s="6"/>
      <c r="E681" s="10"/>
      <c r="F681" s="6"/>
    </row>
    <row r="682" ht="15.75" customHeight="1">
      <c r="B682" s="8"/>
      <c r="C682" s="9"/>
      <c r="D682" s="6"/>
      <c r="E682" s="10"/>
      <c r="F682" s="6"/>
    </row>
    <row r="683" ht="15.75" customHeight="1">
      <c r="B683" s="8"/>
      <c r="C683" s="9"/>
      <c r="D683" s="6"/>
      <c r="E683" s="10"/>
      <c r="F683" s="6"/>
    </row>
    <row r="684" ht="15.75" customHeight="1">
      <c r="B684" s="8"/>
      <c r="C684" s="9"/>
      <c r="D684" s="6"/>
      <c r="E684" s="10"/>
      <c r="F684" s="6"/>
    </row>
    <row r="685" ht="15.75" customHeight="1">
      <c r="B685" s="8"/>
      <c r="C685" s="9"/>
      <c r="D685" s="6"/>
      <c r="E685" s="10"/>
      <c r="F685" s="6"/>
    </row>
    <row r="686" ht="15.75" customHeight="1">
      <c r="B686" s="8"/>
      <c r="C686" s="9"/>
      <c r="D686" s="6"/>
      <c r="E686" s="10"/>
      <c r="F686" s="6"/>
    </row>
    <row r="687" ht="15.75" customHeight="1">
      <c r="B687" s="8"/>
      <c r="C687" s="9"/>
      <c r="D687" s="6"/>
      <c r="E687" s="10"/>
      <c r="F687" s="6"/>
    </row>
    <row r="688" ht="15.75" customHeight="1">
      <c r="B688" s="8"/>
      <c r="C688" s="9"/>
      <c r="D688" s="6"/>
      <c r="E688" s="10"/>
      <c r="F688" s="6"/>
    </row>
    <row r="689" ht="15.75" customHeight="1">
      <c r="B689" s="8"/>
      <c r="C689" s="9"/>
      <c r="D689" s="6"/>
      <c r="E689" s="10"/>
      <c r="F689" s="6"/>
    </row>
    <row r="690" ht="15.75" customHeight="1">
      <c r="B690" s="8"/>
      <c r="C690" s="9"/>
      <c r="D690" s="6"/>
      <c r="E690" s="10"/>
      <c r="F690" s="6"/>
    </row>
    <row r="691" ht="15.75" customHeight="1">
      <c r="B691" s="8"/>
      <c r="C691" s="9"/>
      <c r="D691" s="6"/>
      <c r="E691" s="10"/>
      <c r="F691" s="6"/>
    </row>
    <row r="692" ht="15.75" customHeight="1">
      <c r="B692" s="8"/>
      <c r="C692" s="9"/>
      <c r="D692" s="6"/>
      <c r="E692" s="10"/>
      <c r="F692" s="6"/>
    </row>
    <row r="693" ht="15.75" customHeight="1">
      <c r="B693" s="8"/>
      <c r="C693" s="9"/>
      <c r="D693" s="6"/>
      <c r="E693" s="10"/>
      <c r="F693" s="6"/>
    </row>
    <row r="694" ht="15.75" customHeight="1">
      <c r="B694" s="8"/>
      <c r="C694" s="9"/>
      <c r="D694" s="6"/>
      <c r="E694" s="10"/>
      <c r="F694" s="6"/>
    </row>
    <row r="695" ht="15.75" customHeight="1">
      <c r="B695" s="8"/>
      <c r="C695" s="9"/>
      <c r="D695" s="6"/>
      <c r="E695" s="10"/>
      <c r="F695" s="6"/>
    </row>
    <row r="696" ht="15.75" customHeight="1">
      <c r="B696" s="8"/>
      <c r="C696" s="9"/>
      <c r="D696" s="6"/>
      <c r="E696" s="10"/>
      <c r="F696" s="6"/>
    </row>
    <row r="697" ht="15.75" customHeight="1">
      <c r="B697" s="8"/>
      <c r="C697" s="9"/>
      <c r="D697" s="6"/>
      <c r="E697" s="10"/>
      <c r="F697" s="6"/>
    </row>
    <row r="698" ht="15.75" customHeight="1">
      <c r="B698" s="8"/>
      <c r="C698" s="9"/>
      <c r="D698" s="6"/>
      <c r="E698" s="10"/>
      <c r="F698" s="6"/>
    </row>
    <row r="699" ht="15.75" customHeight="1">
      <c r="B699" s="8"/>
      <c r="C699" s="9"/>
      <c r="D699" s="6"/>
      <c r="E699" s="10"/>
      <c r="F699" s="6"/>
    </row>
    <row r="700" ht="15.75" customHeight="1">
      <c r="B700" s="8"/>
      <c r="C700" s="9"/>
      <c r="D700" s="6"/>
      <c r="E700" s="10"/>
      <c r="F700" s="6"/>
    </row>
    <row r="701" ht="15.75" customHeight="1">
      <c r="B701" s="8"/>
      <c r="C701" s="9"/>
      <c r="D701" s="6"/>
      <c r="E701" s="10"/>
      <c r="F701" s="6"/>
    </row>
    <row r="702" ht="15.75" customHeight="1">
      <c r="B702" s="8"/>
      <c r="C702" s="9"/>
      <c r="D702" s="6"/>
      <c r="E702" s="10"/>
      <c r="F702" s="6"/>
    </row>
    <row r="703" ht="15.75" customHeight="1">
      <c r="B703" s="8"/>
      <c r="C703" s="9"/>
      <c r="D703" s="6"/>
      <c r="E703" s="10"/>
      <c r="F703" s="6"/>
    </row>
    <row r="704" ht="15.75" customHeight="1">
      <c r="B704" s="8"/>
      <c r="C704" s="9"/>
      <c r="D704" s="6"/>
      <c r="E704" s="10"/>
      <c r="F704" s="6"/>
    </row>
    <row r="705" ht="15.75" customHeight="1">
      <c r="B705" s="8"/>
      <c r="C705" s="9"/>
      <c r="D705" s="6"/>
      <c r="E705" s="10"/>
      <c r="F705" s="6"/>
    </row>
    <row r="706" ht="15.75" customHeight="1">
      <c r="B706" s="8"/>
      <c r="C706" s="9"/>
      <c r="D706" s="6"/>
      <c r="E706" s="10"/>
      <c r="F706" s="6"/>
    </row>
    <row r="707" ht="15.75" customHeight="1">
      <c r="B707" s="8"/>
      <c r="C707" s="9"/>
      <c r="D707" s="6"/>
      <c r="E707" s="10"/>
      <c r="F707" s="6"/>
    </row>
    <row r="708" ht="15.75" customHeight="1">
      <c r="B708" s="8"/>
      <c r="C708" s="9"/>
      <c r="D708" s="6"/>
      <c r="E708" s="10"/>
      <c r="F708" s="6"/>
    </row>
    <row r="709" ht="15.75" customHeight="1">
      <c r="B709" s="8"/>
      <c r="C709" s="9"/>
      <c r="D709" s="6"/>
      <c r="E709" s="10"/>
      <c r="F709" s="6"/>
    </row>
    <row r="710" ht="15.75" customHeight="1">
      <c r="B710" s="8"/>
      <c r="C710" s="9"/>
      <c r="D710" s="6"/>
      <c r="E710" s="10"/>
      <c r="F710" s="6"/>
    </row>
    <row r="711" ht="15.75" customHeight="1">
      <c r="B711" s="8"/>
      <c r="C711" s="9"/>
      <c r="D711" s="6"/>
      <c r="E711" s="10"/>
      <c r="F711" s="6"/>
    </row>
    <row r="712" ht="15.75" customHeight="1">
      <c r="B712" s="8"/>
      <c r="C712" s="9"/>
      <c r="D712" s="6"/>
      <c r="E712" s="10"/>
      <c r="F712" s="6"/>
    </row>
    <row r="713" ht="15.75" customHeight="1">
      <c r="B713" s="8"/>
      <c r="C713" s="9"/>
      <c r="D713" s="6"/>
      <c r="E713" s="10"/>
      <c r="F713" s="6"/>
    </row>
    <row r="714" ht="15.75" customHeight="1">
      <c r="B714" s="8"/>
      <c r="C714" s="9"/>
      <c r="D714" s="6"/>
      <c r="E714" s="10"/>
      <c r="F714" s="6"/>
    </row>
    <row r="715" ht="15.75" customHeight="1">
      <c r="B715" s="8"/>
      <c r="C715" s="9"/>
      <c r="D715" s="6"/>
      <c r="E715" s="10"/>
      <c r="F715" s="6"/>
    </row>
    <row r="716" ht="15.75" customHeight="1">
      <c r="B716" s="8"/>
      <c r="C716" s="9"/>
      <c r="D716" s="6"/>
      <c r="E716" s="10"/>
      <c r="F716" s="6"/>
    </row>
    <row r="717" ht="15.75" customHeight="1">
      <c r="B717" s="8"/>
      <c r="C717" s="9"/>
      <c r="D717" s="6"/>
      <c r="E717" s="10"/>
      <c r="F717" s="6"/>
    </row>
    <row r="718" ht="15.75" customHeight="1">
      <c r="B718" s="8"/>
      <c r="C718" s="9"/>
      <c r="D718" s="6"/>
      <c r="E718" s="10"/>
      <c r="F718" s="6"/>
    </row>
    <row r="719" ht="15.75" customHeight="1">
      <c r="B719" s="8"/>
      <c r="C719" s="9"/>
      <c r="D719" s="6"/>
      <c r="E719" s="10"/>
      <c r="F719" s="6"/>
    </row>
    <row r="720" ht="15.75" customHeight="1">
      <c r="B720" s="8"/>
      <c r="C720" s="9"/>
      <c r="D720" s="6"/>
      <c r="E720" s="10"/>
      <c r="F720" s="6"/>
    </row>
    <row r="721" ht="15.75" customHeight="1">
      <c r="B721" s="8"/>
      <c r="C721" s="9"/>
      <c r="D721" s="6"/>
      <c r="E721" s="10"/>
      <c r="F721" s="6"/>
    </row>
    <row r="722" ht="15.75" customHeight="1">
      <c r="B722" s="8"/>
      <c r="C722" s="9"/>
      <c r="D722" s="6"/>
      <c r="E722" s="10"/>
      <c r="F722" s="6"/>
    </row>
    <row r="723" ht="15.75" customHeight="1">
      <c r="B723" s="8"/>
      <c r="C723" s="9"/>
      <c r="D723" s="6"/>
      <c r="E723" s="10"/>
      <c r="F723" s="6"/>
    </row>
    <row r="724" ht="15.75" customHeight="1">
      <c r="B724" s="8"/>
      <c r="C724" s="9"/>
      <c r="D724" s="6"/>
      <c r="E724" s="10"/>
      <c r="F724" s="6"/>
    </row>
    <row r="725" ht="15.75" customHeight="1">
      <c r="B725" s="8"/>
      <c r="C725" s="9"/>
      <c r="D725" s="6"/>
      <c r="E725" s="10"/>
      <c r="F725" s="6"/>
    </row>
    <row r="726" ht="15.75" customHeight="1">
      <c r="B726" s="8"/>
      <c r="C726" s="9"/>
      <c r="D726" s="6"/>
      <c r="E726" s="10"/>
      <c r="F726" s="6"/>
    </row>
    <row r="727" ht="15.75" customHeight="1">
      <c r="B727" s="8"/>
      <c r="C727" s="9"/>
      <c r="D727" s="6"/>
      <c r="E727" s="10"/>
      <c r="F727" s="6"/>
    </row>
    <row r="728" ht="15.75" customHeight="1">
      <c r="B728" s="8"/>
      <c r="C728" s="9"/>
      <c r="D728" s="6"/>
      <c r="E728" s="10"/>
      <c r="F728" s="6"/>
    </row>
    <row r="729" ht="15.75" customHeight="1">
      <c r="B729" s="8"/>
      <c r="C729" s="9"/>
      <c r="D729" s="6"/>
      <c r="E729" s="10"/>
      <c r="F729" s="6"/>
    </row>
    <row r="730" ht="15.75" customHeight="1">
      <c r="B730" s="8"/>
      <c r="C730" s="9"/>
      <c r="D730" s="6"/>
      <c r="E730" s="10"/>
      <c r="F730" s="6"/>
    </row>
    <row r="731" ht="15.75" customHeight="1">
      <c r="B731" s="8"/>
      <c r="C731" s="9"/>
      <c r="D731" s="6"/>
      <c r="E731" s="10"/>
      <c r="F731" s="6"/>
    </row>
    <row r="732" ht="15.75" customHeight="1">
      <c r="B732" s="8"/>
      <c r="C732" s="9"/>
      <c r="D732" s="6"/>
      <c r="E732" s="10"/>
      <c r="F732" s="6"/>
    </row>
    <row r="733" ht="15.75" customHeight="1">
      <c r="B733" s="8"/>
      <c r="C733" s="9"/>
      <c r="D733" s="6"/>
      <c r="E733" s="10"/>
      <c r="F733" s="6"/>
    </row>
    <row r="734" ht="15.75" customHeight="1">
      <c r="B734" s="8"/>
      <c r="C734" s="9"/>
      <c r="D734" s="6"/>
      <c r="E734" s="10"/>
      <c r="F734" s="6"/>
    </row>
    <row r="735" ht="15.75" customHeight="1">
      <c r="B735" s="8"/>
      <c r="C735" s="9"/>
      <c r="D735" s="6"/>
      <c r="E735" s="10"/>
      <c r="F735" s="6"/>
    </row>
    <row r="736" ht="15.75" customHeight="1">
      <c r="B736" s="8"/>
      <c r="C736" s="9"/>
      <c r="D736" s="6"/>
      <c r="E736" s="10"/>
      <c r="F736" s="6"/>
    </row>
    <row r="737" ht="15.75" customHeight="1">
      <c r="B737" s="8"/>
      <c r="C737" s="9"/>
      <c r="D737" s="6"/>
      <c r="E737" s="10"/>
      <c r="F737" s="6"/>
    </row>
    <row r="738" ht="15.75" customHeight="1">
      <c r="B738" s="8"/>
      <c r="C738" s="9"/>
      <c r="D738" s="6"/>
      <c r="E738" s="10"/>
      <c r="F738" s="6"/>
    </row>
    <row r="739" ht="15.75" customHeight="1">
      <c r="B739" s="8"/>
      <c r="C739" s="9"/>
      <c r="D739" s="6"/>
      <c r="E739" s="10"/>
      <c r="F739" s="6"/>
    </row>
    <row r="740" ht="15.75" customHeight="1">
      <c r="B740" s="8"/>
      <c r="C740" s="9"/>
      <c r="D740" s="6"/>
      <c r="E740" s="10"/>
      <c r="F740" s="6"/>
    </row>
    <row r="741" ht="15.75" customHeight="1">
      <c r="B741" s="8"/>
      <c r="C741" s="9"/>
      <c r="D741" s="6"/>
      <c r="E741" s="10"/>
      <c r="F741" s="6"/>
    </row>
    <row r="742" ht="15.75" customHeight="1">
      <c r="B742" s="8"/>
      <c r="C742" s="9"/>
      <c r="D742" s="6"/>
      <c r="E742" s="10"/>
      <c r="F742" s="6"/>
    </row>
    <row r="743" ht="15.75" customHeight="1">
      <c r="B743" s="8"/>
      <c r="C743" s="9"/>
      <c r="D743" s="6"/>
      <c r="E743" s="10"/>
      <c r="F743" s="6"/>
    </row>
    <row r="744" ht="15.75" customHeight="1">
      <c r="B744" s="8"/>
      <c r="C744" s="9"/>
      <c r="D744" s="6"/>
      <c r="E744" s="10"/>
      <c r="F744" s="6"/>
    </row>
    <row r="745" ht="15.75" customHeight="1">
      <c r="B745" s="8"/>
      <c r="C745" s="9"/>
      <c r="D745" s="6"/>
      <c r="E745" s="10"/>
      <c r="F745" s="6"/>
    </row>
    <row r="746" ht="15.75" customHeight="1">
      <c r="B746" s="8"/>
      <c r="C746" s="9"/>
      <c r="D746" s="6"/>
      <c r="E746" s="10"/>
      <c r="F746" s="6"/>
    </row>
    <row r="747" ht="15.75" customHeight="1">
      <c r="B747" s="8"/>
      <c r="C747" s="9"/>
      <c r="D747" s="6"/>
      <c r="E747" s="10"/>
      <c r="F747" s="6"/>
    </row>
    <row r="748" ht="15.75" customHeight="1">
      <c r="B748" s="8"/>
      <c r="C748" s="9"/>
      <c r="D748" s="6"/>
      <c r="E748" s="10"/>
      <c r="F748" s="6"/>
    </row>
    <row r="749" ht="15.75" customHeight="1">
      <c r="B749" s="8"/>
      <c r="C749" s="9"/>
      <c r="D749" s="6"/>
      <c r="E749" s="10"/>
      <c r="F749" s="6"/>
    </row>
    <row r="750" ht="15.75" customHeight="1">
      <c r="B750" s="8"/>
      <c r="C750" s="9"/>
      <c r="D750" s="6"/>
      <c r="E750" s="10"/>
      <c r="F750" s="6"/>
    </row>
    <row r="751" ht="15.75" customHeight="1">
      <c r="B751" s="8"/>
      <c r="C751" s="9"/>
      <c r="D751" s="6"/>
      <c r="E751" s="10"/>
      <c r="F751" s="6"/>
    </row>
    <row r="752" ht="15.75" customHeight="1">
      <c r="B752" s="8"/>
      <c r="C752" s="9"/>
      <c r="D752" s="6"/>
      <c r="E752" s="10"/>
      <c r="F752" s="6"/>
    </row>
    <row r="753" ht="15.75" customHeight="1">
      <c r="B753" s="8"/>
      <c r="C753" s="9"/>
      <c r="D753" s="6"/>
      <c r="E753" s="10"/>
      <c r="F753" s="6"/>
    </row>
    <row r="754" ht="15.75" customHeight="1">
      <c r="B754" s="8"/>
      <c r="C754" s="9"/>
      <c r="D754" s="6"/>
      <c r="E754" s="10"/>
      <c r="F754" s="6"/>
    </row>
    <row r="755" ht="15.75" customHeight="1">
      <c r="B755" s="8"/>
      <c r="C755" s="9"/>
      <c r="D755" s="6"/>
      <c r="E755" s="10"/>
      <c r="F755" s="6"/>
    </row>
    <row r="756" ht="15.75" customHeight="1">
      <c r="B756" s="8"/>
      <c r="C756" s="9"/>
      <c r="D756" s="6"/>
      <c r="E756" s="10"/>
      <c r="F756" s="6"/>
    </row>
    <row r="757" ht="15.75" customHeight="1">
      <c r="B757" s="8"/>
      <c r="C757" s="9"/>
      <c r="D757" s="6"/>
      <c r="E757" s="10"/>
      <c r="F757" s="6"/>
    </row>
    <row r="758" ht="15.75" customHeight="1">
      <c r="B758" s="8"/>
      <c r="C758" s="9"/>
      <c r="D758" s="6"/>
      <c r="E758" s="10"/>
      <c r="F758" s="6"/>
    </row>
    <row r="759" ht="15.75" customHeight="1">
      <c r="B759" s="8"/>
      <c r="C759" s="9"/>
      <c r="D759" s="6"/>
      <c r="E759" s="10"/>
      <c r="F759" s="6"/>
    </row>
    <row r="760" ht="15.75" customHeight="1">
      <c r="B760" s="8"/>
      <c r="C760" s="9"/>
      <c r="D760" s="6"/>
      <c r="E760" s="10"/>
      <c r="F760" s="6"/>
    </row>
    <row r="761" ht="15.75" customHeight="1">
      <c r="B761" s="8"/>
      <c r="C761" s="9"/>
      <c r="D761" s="6"/>
      <c r="E761" s="10"/>
      <c r="F761" s="6"/>
    </row>
    <row r="762" ht="15.75" customHeight="1">
      <c r="B762" s="8"/>
      <c r="C762" s="9"/>
      <c r="D762" s="6"/>
      <c r="E762" s="10"/>
      <c r="F762" s="6"/>
    </row>
    <row r="763" ht="15.75" customHeight="1">
      <c r="B763" s="8"/>
      <c r="C763" s="9"/>
      <c r="D763" s="6"/>
      <c r="E763" s="10"/>
      <c r="F763" s="6"/>
    </row>
    <row r="764" ht="15.75" customHeight="1">
      <c r="B764" s="8"/>
      <c r="C764" s="9"/>
      <c r="D764" s="6"/>
      <c r="E764" s="10"/>
      <c r="F764" s="6"/>
    </row>
    <row r="765" ht="15.75" customHeight="1">
      <c r="B765" s="8"/>
      <c r="C765" s="9"/>
      <c r="D765" s="6"/>
      <c r="E765" s="10"/>
      <c r="F765" s="6"/>
    </row>
    <row r="766" ht="15.75" customHeight="1">
      <c r="B766" s="8"/>
      <c r="C766" s="9"/>
      <c r="D766" s="6"/>
      <c r="E766" s="10"/>
      <c r="F766" s="6"/>
    </row>
    <row r="767" ht="15.75" customHeight="1">
      <c r="B767" s="8"/>
      <c r="C767" s="9"/>
      <c r="D767" s="6"/>
      <c r="E767" s="10"/>
      <c r="F767" s="6"/>
    </row>
    <row r="768" ht="15.75" customHeight="1">
      <c r="B768" s="8"/>
      <c r="C768" s="9"/>
      <c r="D768" s="6"/>
      <c r="E768" s="10"/>
      <c r="F768" s="6"/>
    </row>
    <row r="769" ht="15.75" customHeight="1">
      <c r="B769" s="8"/>
      <c r="C769" s="9"/>
      <c r="D769" s="6"/>
      <c r="E769" s="10"/>
      <c r="F769" s="6"/>
    </row>
    <row r="770" ht="15.75" customHeight="1">
      <c r="B770" s="8"/>
      <c r="C770" s="9"/>
      <c r="D770" s="6"/>
      <c r="E770" s="10"/>
      <c r="F770" s="6"/>
    </row>
    <row r="771" ht="15.75" customHeight="1">
      <c r="B771" s="8"/>
      <c r="C771" s="9"/>
      <c r="D771" s="6"/>
      <c r="E771" s="10"/>
      <c r="F771" s="6"/>
    </row>
    <row r="772" ht="15.75" customHeight="1">
      <c r="B772" s="8"/>
      <c r="C772" s="9"/>
      <c r="D772" s="6"/>
      <c r="E772" s="10"/>
      <c r="F772" s="6"/>
    </row>
    <row r="773" ht="15.75" customHeight="1">
      <c r="B773" s="8"/>
      <c r="C773" s="9"/>
      <c r="D773" s="6"/>
      <c r="E773" s="10"/>
      <c r="F773" s="6"/>
    </row>
    <row r="774" ht="15.75" customHeight="1">
      <c r="B774" s="8"/>
      <c r="C774" s="9"/>
      <c r="D774" s="6"/>
      <c r="E774" s="10"/>
      <c r="F774" s="6"/>
    </row>
    <row r="775" ht="15.75" customHeight="1">
      <c r="B775" s="8"/>
      <c r="C775" s="9"/>
      <c r="D775" s="6"/>
      <c r="E775" s="10"/>
      <c r="F775" s="6"/>
    </row>
    <row r="776" ht="15.75" customHeight="1">
      <c r="B776" s="8"/>
      <c r="C776" s="9"/>
      <c r="D776" s="6"/>
      <c r="E776" s="10"/>
      <c r="F776" s="6"/>
    </row>
    <row r="777" ht="15.75" customHeight="1">
      <c r="B777" s="8"/>
      <c r="C777" s="9"/>
      <c r="D777" s="6"/>
      <c r="E777" s="10"/>
      <c r="F777" s="6"/>
    </row>
    <row r="778" ht="15.75" customHeight="1">
      <c r="B778" s="8"/>
      <c r="C778" s="9"/>
      <c r="D778" s="6"/>
      <c r="E778" s="10"/>
      <c r="F778" s="6"/>
    </row>
    <row r="779" ht="15.75" customHeight="1">
      <c r="B779" s="8"/>
      <c r="C779" s="9"/>
      <c r="D779" s="6"/>
      <c r="E779" s="10"/>
      <c r="F779" s="6"/>
    </row>
    <row r="780" ht="15.75" customHeight="1">
      <c r="B780" s="8"/>
      <c r="C780" s="9"/>
      <c r="D780" s="6"/>
      <c r="E780" s="10"/>
      <c r="F780" s="6"/>
    </row>
    <row r="781" ht="15.75" customHeight="1">
      <c r="B781" s="8"/>
      <c r="C781" s="9"/>
      <c r="D781" s="6"/>
      <c r="E781" s="10"/>
      <c r="F781" s="6"/>
    </row>
    <row r="782" ht="15.75" customHeight="1">
      <c r="B782" s="8"/>
      <c r="C782" s="9"/>
      <c r="D782" s="6"/>
      <c r="E782" s="10"/>
      <c r="F782" s="6"/>
    </row>
    <row r="783" ht="15.75" customHeight="1">
      <c r="B783" s="8"/>
      <c r="C783" s="9"/>
      <c r="D783" s="6"/>
      <c r="E783" s="10"/>
      <c r="F783" s="6"/>
    </row>
    <row r="784" ht="15.75" customHeight="1">
      <c r="B784" s="8"/>
      <c r="C784" s="9"/>
      <c r="D784" s="6"/>
      <c r="E784" s="10"/>
      <c r="F784" s="6"/>
    </row>
    <row r="785" ht="15.75" customHeight="1">
      <c r="B785" s="8"/>
      <c r="C785" s="9"/>
      <c r="D785" s="6"/>
      <c r="E785" s="10"/>
      <c r="F785" s="6"/>
    </row>
    <row r="786" ht="15.75" customHeight="1">
      <c r="B786" s="8"/>
      <c r="C786" s="9"/>
      <c r="D786" s="6"/>
      <c r="E786" s="10"/>
      <c r="F786" s="6"/>
    </row>
    <row r="787" ht="15.75" customHeight="1">
      <c r="B787" s="8"/>
      <c r="C787" s="9"/>
      <c r="D787" s="6"/>
      <c r="E787" s="10"/>
      <c r="F787" s="6"/>
    </row>
    <row r="788" ht="15.75" customHeight="1">
      <c r="B788" s="8"/>
      <c r="C788" s="9"/>
      <c r="D788" s="6"/>
      <c r="E788" s="10"/>
      <c r="F788" s="6"/>
    </row>
    <row r="789" ht="15.75" customHeight="1">
      <c r="B789" s="8"/>
      <c r="C789" s="9"/>
      <c r="D789" s="6"/>
      <c r="E789" s="10"/>
      <c r="F789" s="6"/>
    </row>
    <row r="790" ht="15.75" customHeight="1">
      <c r="B790" s="8"/>
      <c r="C790" s="9"/>
      <c r="D790" s="6"/>
      <c r="E790" s="10"/>
      <c r="F790" s="6"/>
    </row>
    <row r="791" ht="15.75" customHeight="1">
      <c r="B791" s="8"/>
      <c r="C791" s="9"/>
      <c r="D791" s="6"/>
      <c r="E791" s="10"/>
      <c r="F791" s="6"/>
    </row>
    <row r="792" ht="15.75" customHeight="1">
      <c r="B792" s="8"/>
      <c r="C792" s="9"/>
      <c r="D792" s="6"/>
      <c r="E792" s="10"/>
      <c r="F792" s="6"/>
    </row>
    <row r="793" ht="15.75" customHeight="1">
      <c r="B793" s="8"/>
      <c r="C793" s="9"/>
      <c r="D793" s="6"/>
      <c r="E793" s="10"/>
      <c r="F793" s="6"/>
    </row>
    <row r="794" ht="15.75" customHeight="1">
      <c r="B794" s="8"/>
      <c r="C794" s="9"/>
      <c r="D794" s="6"/>
      <c r="E794" s="10"/>
      <c r="F794" s="6"/>
    </row>
    <row r="795" ht="15.75" customHeight="1">
      <c r="B795" s="8"/>
      <c r="C795" s="9"/>
      <c r="D795" s="6"/>
      <c r="E795" s="10"/>
      <c r="F795" s="6"/>
    </row>
    <row r="796" ht="15.75" customHeight="1">
      <c r="B796" s="8"/>
      <c r="C796" s="9"/>
      <c r="D796" s="6"/>
      <c r="E796" s="10"/>
      <c r="F796" s="6"/>
    </row>
    <row r="797" ht="15.75" customHeight="1">
      <c r="B797" s="8"/>
      <c r="C797" s="9"/>
      <c r="D797" s="6"/>
      <c r="E797" s="10"/>
      <c r="F797" s="6"/>
    </row>
    <row r="798" ht="15.75" customHeight="1">
      <c r="B798" s="8"/>
      <c r="C798" s="9"/>
      <c r="D798" s="6"/>
      <c r="E798" s="10"/>
      <c r="F798" s="6"/>
    </row>
    <row r="799" ht="15.75" customHeight="1">
      <c r="B799" s="8"/>
      <c r="C799" s="9"/>
      <c r="D799" s="6"/>
      <c r="E799" s="10"/>
      <c r="F799" s="6"/>
    </row>
    <row r="800" ht="15.75" customHeight="1">
      <c r="B800" s="8"/>
      <c r="C800" s="9"/>
      <c r="D800" s="6"/>
      <c r="E800" s="10"/>
      <c r="F800" s="6"/>
    </row>
    <row r="801" ht="15.75" customHeight="1">
      <c r="B801" s="8"/>
      <c r="C801" s="9"/>
      <c r="D801" s="6"/>
      <c r="E801" s="10"/>
      <c r="F801" s="6"/>
    </row>
    <row r="802" ht="15.75" customHeight="1">
      <c r="B802" s="8"/>
      <c r="C802" s="9"/>
      <c r="D802" s="6"/>
      <c r="E802" s="10"/>
      <c r="F802" s="6"/>
    </row>
    <row r="803" ht="15.75" customHeight="1">
      <c r="B803" s="8"/>
      <c r="C803" s="9"/>
      <c r="D803" s="6"/>
      <c r="E803" s="10"/>
      <c r="F803" s="6"/>
    </row>
    <row r="804" ht="15.75" customHeight="1">
      <c r="B804" s="8"/>
      <c r="C804" s="9"/>
      <c r="D804" s="6"/>
      <c r="E804" s="10"/>
      <c r="F804" s="6"/>
    </row>
    <row r="805" ht="15.75" customHeight="1">
      <c r="B805" s="8"/>
      <c r="C805" s="9"/>
      <c r="D805" s="6"/>
      <c r="E805" s="10"/>
      <c r="F805" s="6"/>
    </row>
    <row r="806" ht="15.75" customHeight="1">
      <c r="B806" s="8"/>
      <c r="C806" s="9"/>
      <c r="D806" s="6"/>
      <c r="E806" s="10"/>
      <c r="F806" s="6"/>
    </row>
    <row r="807" ht="15.75" customHeight="1">
      <c r="B807" s="8"/>
      <c r="C807" s="9"/>
      <c r="D807" s="6"/>
      <c r="E807" s="10"/>
      <c r="F807" s="6"/>
    </row>
    <row r="808" ht="15.75" customHeight="1">
      <c r="B808" s="8"/>
      <c r="C808" s="9"/>
      <c r="D808" s="6"/>
      <c r="E808" s="10"/>
      <c r="F808" s="6"/>
    </row>
    <row r="809" ht="15.75" customHeight="1">
      <c r="B809" s="8"/>
      <c r="C809" s="9"/>
      <c r="D809" s="6"/>
      <c r="E809" s="10"/>
      <c r="F809" s="6"/>
    </row>
    <row r="810" ht="15.75" customHeight="1">
      <c r="B810" s="8"/>
      <c r="C810" s="9"/>
      <c r="D810" s="6"/>
      <c r="E810" s="10"/>
      <c r="F810" s="6"/>
    </row>
    <row r="811" ht="15.75" customHeight="1">
      <c r="B811" s="8"/>
      <c r="C811" s="9"/>
      <c r="D811" s="6"/>
      <c r="E811" s="10"/>
      <c r="F811" s="6"/>
    </row>
    <row r="812" ht="15.75" customHeight="1">
      <c r="B812" s="8"/>
      <c r="C812" s="9"/>
      <c r="D812" s="6"/>
      <c r="E812" s="10"/>
      <c r="F812" s="6"/>
    </row>
    <row r="813" ht="15.75" customHeight="1">
      <c r="B813" s="8"/>
      <c r="C813" s="9"/>
      <c r="D813" s="6"/>
      <c r="E813" s="10"/>
      <c r="F813" s="6"/>
    </row>
    <row r="814" ht="15.75" customHeight="1">
      <c r="B814" s="8"/>
      <c r="C814" s="9"/>
      <c r="D814" s="6"/>
      <c r="E814" s="10"/>
      <c r="F814" s="6"/>
    </row>
    <row r="815" ht="15.75" customHeight="1">
      <c r="B815" s="8"/>
      <c r="C815" s="9"/>
      <c r="D815" s="6"/>
      <c r="E815" s="10"/>
      <c r="F815" s="6"/>
    </row>
    <row r="816" ht="15.75" customHeight="1">
      <c r="B816" s="8"/>
      <c r="C816" s="9"/>
      <c r="D816" s="6"/>
      <c r="E816" s="10"/>
      <c r="F816" s="6"/>
    </row>
    <row r="817" ht="15.75" customHeight="1">
      <c r="B817" s="8"/>
      <c r="C817" s="9"/>
      <c r="D817" s="6"/>
      <c r="E817" s="10"/>
      <c r="F817" s="6"/>
    </row>
    <row r="818" ht="15.75" customHeight="1">
      <c r="B818" s="8"/>
      <c r="C818" s="9"/>
      <c r="D818" s="6"/>
      <c r="E818" s="10"/>
      <c r="F818" s="6"/>
    </row>
    <row r="819" ht="15.75" customHeight="1">
      <c r="B819" s="8"/>
      <c r="C819" s="9"/>
      <c r="D819" s="6"/>
      <c r="E819" s="10"/>
      <c r="F819" s="6"/>
    </row>
    <row r="820" ht="15.75" customHeight="1">
      <c r="B820" s="8"/>
      <c r="C820" s="9"/>
      <c r="D820" s="6"/>
      <c r="E820" s="10"/>
      <c r="F820" s="6"/>
    </row>
    <row r="821" ht="15.75" customHeight="1">
      <c r="B821" s="8"/>
      <c r="C821" s="9"/>
      <c r="D821" s="6"/>
      <c r="E821" s="10"/>
      <c r="F821" s="6"/>
    </row>
    <row r="822" ht="15.75" customHeight="1">
      <c r="B822" s="8"/>
      <c r="C822" s="9"/>
      <c r="D822" s="6"/>
      <c r="E822" s="10"/>
      <c r="F822" s="6"/>
    </row>
    <row r="823" ht="15.75" customHeight="1">
      <c r="B823" s="8"/>
      <c r="C823" s="9"/>
      <c r="D823" s="6"/>
      <c r="E823" s="10"/>
      <c r="F823" s="6"/>
    </row>
    <row r="824" ht="15.75" customHeight="1">
      <c r="B824" s="8"/>
      <c r="C824" s="9"/>
      <c r="D824" s="6"/>
      <c r="E824" s="10"/>
      <c r="F824" s="6"/>
    </row>
    <row r="825" ht="15.75" customHeight="1">
      <c r="B825" s="8"/>
      <c r="C825" s="9"/>
      <c r="D825" s="6"/>
      <c r="E825" s="10"/>
      <c r="F825" s="6"/>
    </row>
    <row r="826" ht="15.75" customHeight="1">
      <c r="B826" s="8"/>
      <c r="C826" s="9"/>
      <c r="D826" s="6"/>
      <c r="E826" s="10"/>
      <c r="F826" s="6"/>
    </row>
    <row r="827" ht="15.75" customHeight="1">
      <c r="B827" s="8"/>
      <c r="C827" s="9"/>
      <c r="D827" s="6"/>
      <c r="E827" s="10"/>
      <c r="F827" s="6"/>
    </row>
    <row r="828" ht="15.75" customHeight="1">
      <c r="B828" s="8"/>
      <c r="C828" s="9"/>
      <c r="D828" s="6"/>
      <c r="E828" s="10"/>
      <c r="F828" s="6"/>
    </row>
    <row r="829" ht="15.75" customHeight="1">
      <c r="B829" s="8"/>
      <c r="C829" s="9"/>
      <c r="D829" s="6"/>
      <c r="E829" s="10"/>
      <c r="F829" s="6"/>
    </row>
    <row r="830" ht="15.75" customHeight="1">
      <c r="B830" s="8"/>
      <c r="C830" s="9"/>
      <c r="D830" s="6"/>
      <c r="E830" s="10"/>
      <c r="F830" s="6"/>
    </row>
    <row r="831" ht="15.75" customHeight="1">
      <c r="B831" s="8"/>
      <c r="C831" s="9"/>
      <c r="D831" s="6"/>
      <c r="E831" s="10"/>
      <c r="F831" s="6"/>
    </row>
    <row r="832" ht="15.75" customHeight="1">
      <c r="B832" s="8"/>
      <c r="C832" s="9"/>
      <c r="D832" s="6"/>
      <c r="E832" s="10"/>
      <c r="F832" s="6"/>
    </row>
    <row r="833" ht="15.75" customHeight="1">
      <c r="B833" s="8"/>
      <c r="C833" s="9"/>
      <c r="D833" s="6"/>
      <c r="E833" s="10"/>
      <c r="F833" s="6"/>
    </row>
    <row r="834" ht="15.75" customHeight="1">
      <c r="B834" s="8"/>
      <c r="C834" s="9"/>
      <c r="D834" s="6"/>
      <c r="E834" s="10"/>
      <c r="F834" s="6"/>
    </row>
    <row r="835" ht="15.75" customHeight="1">
      <c r="B835" s="8"/>
      <c r="C835" s="9"/>
      <c r="D835" s="6"/>
      <c r="E835" s="10"/>
      <c r="F835" s="6"/>
    </row>
    <row r="836" ht="15.75" customHeight="1">
      <c r="B836" s="8"/>
      <c r="C836" s="9"/>
      <c r="D836" s="6"/>
      <c r="E836" s="10"/>
      <c r="F836" s="6"/>
    </row>
    <row r="837" ht="15.75" customHeight="1">
      <c r="B837" s="8"/>
      <c r="C837" s="9"/>
      <c r="D837" s="6"/>
      <c r="E837" s="10"/>
      <c r="F837" s="6"/>
    </row>
    <row r="838" ht="15.75" customHeight="1">
      <c r="B838" s="8"/>
      <c r="C838" s="9"/>
      <c r="D838" s="6"/>
      <c r="E838" s="10"/>
      <c r="F838" s="6"/>
    </row>
    <row r="839" ht="15.75" customHeight="1">
      <c r="B839" s="8"/>
      <c r="C839" s="9"/>
      <c r="D839" s="6"/>
      <c r="E839" s="10"/>
      <c r="F839" s="6"/>
    </row>
    <row r="840" ht="15.75" customHeight="1">
      <c r="B840" s="8"/>
      <c r="C840" s="9"/>
      <c r="D840" s="6"/>
      <c r="E840" s="10"/>
      <c r="F840" s="6"/>
    </row>
    <row r="841" ht="15.75" customHeight="1">
      <c r="B841" s="8"/>
      <c r="C841" s="9"/>
      <c r="D841" s="6"/>
      <c r="E841" s="10"/>
      <c r="F841" s="6"/>
    </row>
    <row r="842" ht="15.75" customHeight="1">
      <c r="B842" s="8"/>
      <c r="C842" s="9"/>
      <c r="D842" s="6"/>
      <c r="E842" s="10"/>
      <c r="F842" s="6"/>
    </row>
    <row r="843" ht="15.75" customHeight="1">
      <c r="B843" s="8"/>
      <c r="C843" s="9"/>
      <c r="D843" s="6"/>
      <c r="E843" s="10"/>
      <c r="F843" s="6"/>
    </row>
    <row r="844" ht="15.75" customHeight="1">
      <c r="B844" s="8"/>
      <c r="C844" s="9"/>
      <c r="D844" s="6"/>
      <c r="E844" s="10"/>
      <c r="F844" s="6"/>
    </row>
    <row r="845" ht="15.75" customHeight="1">
      <c r="B845" s="8"/>
      <c r="C845" s="9"/>
      <c r="D845" s="6"/>
      <c r="E845" s="10"/>
      <c r="F845" s="6"/>
    </row>
    <row r="846" ht="15.75" customHeight="1">
      <c r="B846" s="8"/>
      <c r="C846" s="9"/>
      <c r="D846" s="6"/>
      <c r="E846" s="10"/>
      <c r="F846" s="6"/>
    </row>
    <row r="847" ht="15.75" customHeight="1">
      <c r="B847" s="8"/>
      <c r="C847" s="9"/>
      <c r="D847" s="6"/>
      <c r="E847" s="10"/>
      <c r="F847" s="6"/>
    </row>
    <row r="848" ht="15.75" customHeight="1">
      <c r="B848" s="8"/>
      <c r="C848" s="9"/>
      <c r="D848" s="6"/>
      <c r="E848" s="10"/>
      <c r="F848" s="6"/>
    </row>
    <row r="849" ht="15.75" customHeight="1">
      <c r="B849" s="8"/>
      <c r="C849" s="9"/>
      <c r="D849" s="6"/>
      <c r="E849" s="10"/>
      <c r="F849" s="6"/>
    </row>
    <row r="850" ht="15.75" customHeight="1">
      <c r="B850" s="8"/>
      <c r="C850" s="9"/>
      <c r="D850" s="6"/>
      <c r="E850" s="10"/>
      <c r="F850" s="6"/>
    </row>
    <row r="851" ht="15.75" customHeight="1">
      <c r="B851" s="8"/>
      <c r="C851" s="9"/>
      <c r="D851" s="6"/>
      <c r="E851" s="10"/>
      <c r="F851" s="6"/>
    </row>
    <row r="852" ht="15.75" customHeight="1">
      <c r="B852" s="8"/>
      <c r="C852" s="9"/>
      <c r="D852" s="6"/>
      <c r="E852" s="10"/>
      <c r="F852" s="6"/>
    </row>
    <row r="853" ht="15.75" customHeight="1">
      <c r="B853" s="8"/>
      <c r="C853" s="9"/>
      <c r="D853" s="6"/>
      <c r="E853" s="10"/>
      <c r="F853" s="6"/>
    </row>
    <row r="854" ht="15.75" customHeight="1">
      <c r="B854" s="8"/>
      <c r="C854" s="9"/>
      <c r="D854" s="6"/>
      <c r="E854" s="10"/>
      <c r="F854" s="6"/>
    </row>
    <row r="855" ht="15.75" customHeight="1">
      <c r="B855" s="8"/>
      <c r="C855" s="9"/>
      <c r="D855" s="6"/>
      <c r="E855" s="10"/>
      <c r="F855" s="6"/>
    </row>
    <row r="856" ht="15.75" customHeight="1">
      <c r="B856" s="8"/>
      <c r="C856" s="9"/>
      <c r="D856" s="6"/>
      <c r="E856" s="10"/>
      <c r="F856" s="6"/>
    </row>
    <row r="857" ht="15.75" customHeight="1">
      <c r="B857" s="8"/>
      <c r="C857" s="9"/>
      <c r="D857" s="6"/>
      <c r="E857" s="10"/>
      <c r="F857" s="6"/>
    </row>
    <row r="858" ht="15.75" customHeight="1">
      <c r="B858" s="8"/>
      <c r="C858" s="9"/>
      <c r="D858" s="6"/>
      <c r="E858" s="10"/>
      <c r="F858" s="6"/>
    </row>
    <row r="859" ht="15.75" customHeight="1">
      <c r="B859" s="8"/>
      <c r="C859" s="9"/>
      <c r="D859" s="6"/>
      <c r="E859" s="10"/>
      <c r="F859" s="6"/>
    </row>
    <row r="860" ht="15.75" customHeight="1">
      <c r="B860" s="8"/>
      <c r="C860" s="9"/>
      <c r="D860" s="6"/>
      <c r="E860" s="10"/>
      <c r="F860" s="6"/>
    </row>
    <row r="861" ht="15.75" customHeight="1">
      <c r="B861" s="8"/>
      <c r="C861" s="9"/>
      <c r="D861" s="6"/>
      <c r="E861" s="10"/>
      <c r="F861" s="6"/>
    </row>
    <row r="862" ht="15.75" customHeight="1">
      <c r="B862" s="8"/>
      <c r="C862" s="9"/>
      <c r="D862" s="6"/>
      <c r="E862" s="10"/>
      <c r="F862" s="6"/>
    </row>
    <row r="863" ht="15.75" customHeight="1">
      <c r="B863" s="8"/>
      <c r="C863" s="9"/>
      <c r="D863" s="6"/>
      <c r="E863" s="10"/>
      <c r="F863" s="6"/>
    </row>
    <row r="864" ht="15.75" customHeight="1">
      <c r="B864" s="8"/>
      <c r="C864" s="9"/>
      <c r="D864" s="6"/>
      <c r="E864" s="10"/>
      <c r="F864" s="6"/>
    </row>
    <row r="865" ht="15.75" customHeight="1">
      <c r="B865" s="8"/>
      <c r="C865" s="9"/>
      <c r="D865" s="6"/>
      <c r="E865" s="10"/>
      <c r="F865" s="6"/>
    </row>
    <row r="866" ht="15.75" customHeight="1">
      <c r="B866" s="8"/>
      <c r="C866" s="9"/>
      <c r="D866" s="6"/>
      <c r="E866" s="10"/>
      <c r="F866" s="6"/>
    </row>
    <row r="867" ht="15.75" customHeight="1">
      <c r="B867" s="8"/>
      <c r="C867" s="9"/>
      <c r="D867" s="6"/>
      <c r="E867" s="10"/>
      <c r="F867" s="6"/>
    </row>
    <row r="868" ht="15.75" customHeight="1">
      <c r="B868" s="8"/>
      <c r="C868" s="9"/>
      <c r="D868" s="6"/>
      <c r="E868" s="10"/>
      <c r="F868" s="6"/>
    </row>
    <row r="869" ht="15.75" customHeight="1">
      <c r="B869" s="8"/>
      <c r="C869" s="9"/>
      <c r="D869" s="6"/>
      <c r="E869" s="10"/>
      <c r="F869" s="6"/>
    </row>
    <row r="870" ht="15.75" customHeight="1">
      <c r="B870" s="8"/>
      <c r="C870" s="9"/>
      <c r="D870" s="6"/>
      <c r="E870" s="10"/>
      <c r="F870" s="6"/>
    </row>
    <row r="871" ht="15.75" customHeight="1">
      <c r="B871" s="8"/>
      <c r="C871" s="9"/>
      <c r="D871" s="6"/>
      <c r="E871" s="10"/>
      <c r="F871" s="6"/>
    </row>
    <row r="872" ht="15.75" customHeight="1">
      <c r="B872" s="8"/>
      <c r="C872" s="9"/>
      <c r="D872" s="6"/>
      <c r="E872" s="10"/>
      <c r="F872" s="6"/>
    </row>
    <row r="873" ht="15.75" customHeight="1">
      <c r="B873" s="8"/>
      <c r="C873" s="9"/>
      <c r="D873" s="6"/>
      <c r="E873" s="10"/>
      <c r="F873" s="6"/>
    </row>
    <row r="874" ht="15.75" customHeight="1">
      <c r="B874" s="8"/>
      <c r="C874" s="9"/>
      <c r="D874" s="6"/>
      <c r="E874" s="10"/>
      <c r="F874" s="6"/>
    </row>
    <row r="875" ht="15.75" customHeight="1">
      <c r="B875" s="8"/>
      <c r="C875" s="9"/>
      <c r="D875" s="6"/>
      <c r="E875" s="10"/>
      <c r="F875" s="6"/>
    </row>
    <row r="876" ht="15.75" customHeight="1">
      <c r="B876" s="8"/>
      <c r="C876" s="9"/>
      <c r="D876" s="6"/>
      <c r="E876" s="10"/>
      <c r="F876" s="6"/>
    </row>
    <row r="877" ht="15.75" customHeight="1">
      <c r="B877" s="8"/>
      <c r="C877" s="9"/>
      <c r="D877" s="6"/>
      <c r="E877" s="10"/>
      <c r="F877" s="6"/>
    </row>
    <row r="878" ht="15.75" customHeight="1">
      <c r="B878" s="8"/>
      <c r="C878" s="9"/>
      <c r="D878" s="6"/>
      <c r="E878" s="10"/>
      <c r="F878" s="6"/>
    </row>
    <row r="879" ht="15.75" customHeight="1">
      <c r="B879" s="8"/>
      <c r="C879" s="9"/>
      <c r="D879" s="6"/>
      <c r="E879" s="10"/>
      <c r="F879" s="6"/>
    </row>
    <row r="880" ht="15.75" customHeight="1">
      <c r="B880" s="8"/>
      <c r="C880" s="9"/>
      <c r="D880" s="6"/>
      <c r="E880" s="10"/>
      <c r="F880" s="6"/>
    </row>
    <row r="881" ht="15.75" customHeight="1">
      <c r="B881" s="8"/>
      <c r="C881" s="9"/>
      <c r="D881" s="6"/>
      <c r="E881" s="10"/>
      <c r="F881" s="6"/>
    </row>
    <row r="882" ht="15.75" customHeight="1">
      <c r="B882" s="8"/>
      <c r="C882" s="9"/>
      <c r="D882" s="6"/>
      <c r="E882" s="10"/>
      <c r="F882" s="6"/>
    </row>
    <row r="883" ht="15.75" customHeight="1">
      <c r="B883" s="8"/>
      <c r="C883" s="9"/>
      <c r="D883" s="6"/>
      <c r="E883" s="10"/>
      <c r="F883" s="6"/>
    </row>
    <row r="884" ht="15.75" customHeight="1">
      <c r="B884" s="8"/>
      <c r="C884" s="9"/>
      <c r="D884" s="6"/>
      <c r="E884" s="10"/>
      <c r="F884" s="6"/>
    </row>
    <row r="885" ht="15.75" customHeight="1">
      <c r="B885" s="8"/>
      <c r="C885" s="9"/>
      <c r="D885" s="6"/>
      <c r="E885" s="10"/>
      <c r="F885" s="6"/>
    </row>
    <row r="886" ht="15.75" customHeight="1">
      <c r="B886" s="8"/>
      <c r="C886" s="9"/>
      <c r="D886" s="6"/>
      <c r="E886" s="10"/>
      <c r="F886" s="6"/>
    </row>
    <row r="887" ht="15.75" customHeight="1">
      <c r="B887" s="8"/>
      <c r="C887" s="9"/>
      <c r="D887" s="6"/>
      <c r="E887" s="10"/>
      <c r="F887" s="6"/>
    </row>
    <row r="888" ht="15.75" customHeight="1">
      <c r="B888" s="8"/>
      <c r="C888" s="9"/>
      <c r="D888" s="6"/>
      <c r="E888" s="10"/>
      <c r="F888" s="6"/>
    </row>
    <row r="889" ht="15.75" customHeight="1">
      <c r="B889" s="8"/>
      <c r="C889" s="9"/>
      <c r="D889" s="6"/>
      <c r="E889" s="10"/>
      <c r="F889" s="6"/>
    </row>
    <row r="890" ht="15.75" customHeight="1">
      <c r="B890" s="8"/>
      <c r="C890" s="9"/>
      <c r="D890" s="6"/>
      <c r="E890" s="10"/>
      <c r="F890" s="6"/>
    </row>
    <row r="891" ht="15.75" customHeight="1">
      <c r="B891" s="8"/>
      <c r="C891" s="9"/>
      <c r="D891" s="6"/>
      <c r="E891" s="10"/>
      <c r="F891" s="6"/>
    </row>
    <row r="892" ht="15.75" customHeight="1">
      <c r="B892" s="8"/>
      <c r="C892" s="9"/>
      <c r="D892" s="6"/>
      <c r="E892" s="10"/>
      <c r="F892" s="6"/>
    </row>
    <row r="893" ht="15.75" customHeight="1">
      <c r="B893" s="8"/>
      <c r="C893" s="9"/>
      <c r="D893" s="6"/>
      <c r="E893" s="10"/>
      <c r="F893" s="6"/>
    </row>
    <row r="894" ht="15.75" customHeight="1">
      <c r="B894" s="8"/>
      <c r="C894" s="9"/>
      <c r="D894" s="6"/>
      <c r="E894" s="10"/>
      <c r="F894" s="6"/>
    </row>
    <row r="895" ht="15.75" customHeight="1">
      <c r="B895" s="8"/>
      <c r="C895" s="9"/>
      <c r="D895" s="6"/>
      <c r="E895" s="10"/>
      <c r="F895" s="6"/>
    </row>
    <row r="896" ht="15.75" customHeight="1">
      <c r="B896" s="8"/>
      <c r="C896" s="9"/>
      <c r="D896" s="6"/>
      <c r="E896" s="10"/>
      <c r="F896" s="6"/>
    </row>
    <row r="897" ht="15.75" customHeight="1">
      <c r="B897" s="8"/>
      <c r="C897" s="9"/>
      <c r="D897" s="6"/>
      <c r="E897" s="10"/>
      <c r="F897" s="6"/>
    </row>
    <row r="898" ht="15.75" customHeight="1">
      <c r="B898" s="8"/>
      <c r="C898" s="9"/>
      <c r="D898" s="6"/>
      <c r="E898" s="10"/>
      <c r="F898" s="6"/>
    </row>
    <row r="899" ht="15.75" customHeight="1">
      <c r="B899" s="8"/>
      <c r="C899" s="9"/>
      <c r="D899" s="6"/>
      <c r="E899" s="10"/>
      <c r="F899" s="6"/>
    </row>
    <row r="900" ht="15.75" customHeight="1">
      <c r="B900" s="8"/>
      <c r="C900" s="9"/>
      <c r="D900" s="6"/>
      <c r="E900" s="10"/>
      <c r="F900" s="6"/>
    </row>
    <row r="901" ht="15.75" customHeight="1">
      <c r="B901" s="8"/>
      <c r="C901" s="9"/>
      <c r="D901" s="6"/>
      <c r="E901" s="10"/>
      <c r="F901" s="6"/>
    </row>
    <row r="902" ht="15.75" customHeight="1">
      <c r="B902" s="8"/>
      <c r="C902" s="9"/>
      <c r="D902" s="6"/>
      <c r="E902" s="10"/>
      <c r="F902" s="6"/>
    </row>
    <row r="903" ht="15.75" customHeight="1">
      <c r="B903" s="8"/>
      <c r="C903" s="9"/>
      <c r="D903" s="6"/>
      <c r="E903" s="10"/>
      <c r="F903" s="6"/>
    </row>
    <row r="904" ht="15.75" customHeight="1">
      <c r="B904" s="8"/>
      <c r="C904" s="9"/>
      <c r="D904" s="6"/>
      <c r="E904" s="10"/>
      <c r="F904" s="6"/>
    </row>
    <row r="905" ht="15.75" customHeight="1">
      <c r="B905" s="8"/>
      <c r="C905" s="9"/>
      <c r="D905" s="6"/>
      <c r="E905" s="10"/>
      <c r="F905" s="6"/>
    </row>
    <row r="906" ht="15.75" customHeight="1">
      <c r="B906" s="8"/>
      <c r="C906" s="9"/>
      <c r="D906" s="6"/>
      <c r="E906" s="10"/>
      <c r="F906" s="6"/>
    </row>
    <row r="907" ht="15.75" customHeight="1">
      <c r="B907" s="8"/>
      <c r="C907" s="9"/>
      <c r="D907" s="6"/>
      <c r="E907" s="10"/>
      <c r="F907" s="6"/>
    </row>
    <row r="908" ht="15.75" customHeight="1">
      <c r="B908" s="8"/>
      <c r="C908" s="9"/>
      <c r="D908" s="6"/>
      <c r="E908" s="10"/>
      <c r="F908" s="6"/>
    </row>
    <row r="909" ht="15.75" customHeight="1">
      <c r="B909" s="8"/>
      <c r="C909" s="9"/>
      <c r="D909" s="6"/>
      <c r="E909" s="10"/>
      <c r="F909" s="6"/>
    </row>
    <row r="910" ht="15.75" customHeight="1">
      <c r="B910" s="8"/>
      <c r="C910" s="9"/>
      <c r="D910" s="6"/>
      <c r="E910" s="10"/>
      <c r="F910" s="6"/>
    </row>
    <row r="911" ht="15.75" customHeight="1">
      <c r="B911" s="8"/>
      <c r="C911" s="9"/>
      <c r="D911" s="6"/>
      <c r="E911" s="10"/>
      <c r="F911" s="6"/>
    </row>
    <row r="912" ht="15.75" customHeight="1">
      <c r="B912" s="8"/>
      <c r="C912" s="9"/>
      <c r="D912" s="6"/>
      <c r="E912" s="10"/>
      <c r="F912" s="6"/>
    </row>
    <row r="913" ht="15.75" customHeight="1">
      <c r="B913" s="8"/>
      <c r="C913" s="9"/>
      <c r="D913" s="6"/>
      <c r="E913" s="10"/>
      <c r="F913" s="6"/>
    </row>
    <row r="914" ht="15.75" customHeight="1">
      <c r="B914" s="8"/>
      <c r="C914" s="9"/>
      <c r="D914" s="6"/>
      <c r="E914" s="10"/>
      <c r="F914" s="6"/>
    </row>
    <row r="915" ht="15.75" customHeight="1">
      <c r="B915" s="8"/>
      <c r="C915" s="9"/>
      <c r="D915" s="6"/>
      <c r="E915" s="10"/>
      <c r="F915" s="6"/>
    </row>
    <row r="916" ht="15.75" customHeight="1">
      <c r="B916" s="8"/>
      <c r="C916" s="9"/>
      <c r="D916" s="6"/>
      <c r="E916" s="10"/>
      <c r="F916" s="6"/>
    </row>
    <row r="917" ht="15.75" customHeight="1">
      <c r="B917" s="8"/>
      <c r="C917" s="9"/>
      <c r="D917" s="6"/>
      <c r="E917" s="10"/>
      <c r="F917" s="6"/>
    </row>
    <row r="918" ht="15.75" customHeight="1">
      <c r="B918" s="8"/>
      <c r="C918" s="9"/>
      <c r="D918" s="6"/>
      <c r="E918" s="10"/>
      <c r="F918" s="6"/>
    </row>
    <row r="919" ht="15.75" customHeight="1">
      <c r="B919" s="8"/>
      <c r="C919" s="9"/>
      <c r="D919" s="6"/>
      <c r="E919" s="10"/>
      <c r="F919" s="6"/>
    </row>
    <row r="920" ht="15.75" customHeight="1">
      <c r="B920" s="8"/>
      <c r="C920" s="9"/>
      <c r="D920" s="6"/>
      <c r="E920" s="10"/>
      <c r="F920" s="6"/>
    </row>
    <row r="921" ht="15.75" customHeight="1">
      <c r="B921" s="8"/>
      <c r="C921" s="9"/>
      <c r="D921" s="6"/>
      <c r="E921" s="10"/>
      <c r="F921" s="6"/>
    </row>
    <row r="922" ht="15.75" customHeight="1">
      <c r="B922" s="8"/>
      <c r="C922" s="9"/>
      <c r="D922" s="6"/>
      <c r="E922" s="10"/>
      <c r="F922" s="6"/>
    </row>
    <row r="923" ht="15.75" customHeight="1">
      <c r="B923" s="8"/>
      <c r="C923" s="9"/>
      <c r="D923" s="6"/>
      <c r="E923" s="10"/>
      <c r="F923" s="6"/>
    </row>
    <row r="924" ht="15.75" customHeight="1">
      <c r="B924" s="8"/>
      <c r="C924" s="9"/>
      <c r="D924" s="6"/>
      <c r="E924" s="10"/>
      <c r="F924" s="6"/>
    </row>
    <row r="925" ht="15.75" customHeight="1">
      <c r="B925" s="8"/>
      <c r="C925" s="9"/>
      <c r="D925" s="6"/>
      <c r="E925" s="10"/>
      <c r="F925" s="6"/>
    </row>
    <row r="926" ht="15.75" customHeight="1">
      <c r="B926" s="8"/>
      <c r="C926" s="9"/>
      <c r="D926" s="6"/>
      <c r="E926" s="10"/>
      <c r="F926" s="6"/>
    </row>
    <row r="927" ht="15.75" customHeight="1">
      <c r="B927" s="8"/>
      <c r="C927" s="9"/>
      <c r="D927" s="6"/>
      <c r="E927" s="10"/>
      <c r="F927" s="6"/>
    </row>
    <row r="928" ht="15.75" customHeight="1">
      <c r="B928" s="8"/>
      <c r="C928" s="9"/>
      <c r="D928" s="6"/>
      <c r="E928" s="10"/>
      <c r="F928" s="6"/>
    </row>
    <row r="929" ht="15.75" customHeight="1">
      <c r="B929" s="8"/>
      <c r="C929" s="9"/>
      <c r="D929" s="6"/>
      <c r="E929" s="10"/>
      <c r="F929" s="6"/>
    </row>
    <row r="930" ht="15.75" customHeight="1">
      <c r="B930" s="8"/>
      <c r="C930" s="9"/>
      <c r="D930" s="6"/>
      <c r="E930" s="10"/>
      <c r="F930" s="6"/>
    </row>
    <row r="931" ht="15.75" customHeight="1">
      <c r="B931" s="8"/>
      <c r="C931" s="9"/>
      <c r="D931" s="6"/>
      <c r="E931" s="10"/>
      <c r="F931" s="6"/>
    </row>
    <row r="932" ht="15.75" customHeight="1">
      <c r="B932" s="8"/>
      <c r="C932" s="9"/>
      <c r="D932" s="6"/>
      <c r="E932" s="10"/>
      <c r="F932" s="6"/>
    </row>
    <row r="933" ht="15.75" customHeight="1">
      <c r="B933" s="8"/>
      <c r="C933" s="9"/>
      <c r="D933" s="6"/>
      <c r="E933" s="10"/>
      <c r="F933" s="6"/>
    </row>
    <row r="934" ht="15.75" customHeight="1">
      <c r="B934" s="8"/>
      <c r="C934" s="9"/>
      <c r="D934" s="6"/>
      <c r="E934" s="10"/>
      <c r="F934" s="6"/>
    </row>
    <row r="935" ht="15.75" customHeight="1">
      <c r="B935" s="8"/>
      <c r="C935" s="9"/>
      <c r="D935" s="6"/>
      <c r="E935" s="10"/>
      <c r="F935" s="6"/>
    </row>
    <row r="936" ht="15.75" customHeight="1">
      <c r="B936" s="8"/>
      <c r="C936" s="9"/>
      <c r="D936" s="6"/>
      <c r="E936" s="10"/>
      <c r="F936" s="6"/>
    </row>
    <row r="937" ht="15.75" customHeight="1">
      <c r="B937" s="8"/>
      <c r="C937" s="9"/>
      <c r="D937" s="6"/>
      <c r="E937" s="10"/>
      <c r="F937" s="6"/>
    </row>
    <row r="938" ht="15.75" customHeight="1">
      <c r="B938" s="8"/>
      <c r="C938" s="9"/>
      <c r="D938" s="6"/>
      <c r="E938" s="10"/>
      <c r="F938" s="6"/>
    </row>
    <row r="939" ht="15.75" customHeight="1">
      <c r="B939" s="8"/>
      <c r="C939" s="9"/>
      <c r="D939" s="6"/>
      <c r="E939" s="10"/>
      <c r="F939" s="6"/>
    </row>
    <row r="940" ht="15.75" customHeight="1">
      <c r="B940" s="8"/>
      <c r="C940" s="9"/>
      <c r="D940" s="6"/>
      <c r="E940" s="10"/>
      <c r="F940" s="6"/>
    </row>
    <row r="941" ht="15.75" customHeight="1">
      <c r="B941" s="8"/>
      <c r="C941" s="9"/>
      <c r="D941" s="6"/>
      <c r="E941" s="10"/>
      <c r="F941" s="6"/>
    </row>
    <row r="942" ht="15.75" customHeight="1">
      <c r="B942" s="8"/>
      <c r="C942" s="9"/>
      <c r="D942" s="6"/>
      <c r="E942" s="10"/>
      <c r="F942" s="6"/>
    </row>
    <row r="943" ht="15.75" customHeight="1">
      <c r="B943" s="8"/>
      <c r="C943" s="9"/>
      <c r="D943" s="6"/>
      <c r="E943" s="10"/>
      <c r="F943" s="6"/>
    </row>
    <row r="944" ht="15.75" customHeight="1">
      <c r="B944" s="8"/>
      <c r="C944" s="9"/>
      <c r="D944" s="6"/>
      <c r="E944" s="10"/>
      <c r="F944" s="6"/>
    </row>
    <row r="945" ht="15.75" customHeight="1">
      <c r="B945" s="8"/>
      <c r="C945" s="9"/>
      <c r="D945" s="6"/>
      <c r="E945" s="10"/>
      <c r="F945" s="6"/>
    </row>
    <row r="946" ht="15.75" customHeight="1">
      <c r="B946" s="8"/>
      <c r="C946" s="9"/>
      <c r="D946" s="6"/>
      <c r="E946" s="10"/>
      <c r="F946" s="6"/>
    </row>
    <row r="947" ht="15.75" customHeight="1">
      <c r="B947" s="8"/>
      <c r="C947" s="9"/>
      <c r="D947" s="6"/>
      <c r="E947" s="10"/>
      <c r="F947" s="6"/>
    </row>
    <row r="948" ht="15.75" customHeight="1">
      <c r="B948" s="8"/>
      <c r="C948" s="9"/>
      <c r="D948" s="6"/>
      <c r="E948" s="10"/>
      <c r="F948" s="6"/>
    </row>
    <row r="949" ht="15.75" customHeight="1">
      <c r="B949" s="8"/>
      <c r="C949" s="9"/>
      <c r="D949" s="6"/>
      <c r="E949" s="10"/>
      <c r="F949" s="6"/>
    </row>
    <row r="950" ht="15.75" customHeight="1">
      <c r="B950" s="8"/>
      <c r="C950" s="9"/>
      <c r="D950" s="6"/>
      <c r="E950" s="10"/>
      <c r="F950" s="6"/>
    </row>
    <row r="951" ht="15.75" customHeight="1">
      <c r="B951" s="8"/>
      <c r="C951" s="9"/>
      <c r="D951" s="6"/>
      <c r="E951" s="10"/>
      <c r="F951" s="6"/>
    </row>
    <row r="952" ht="15.75" customHeight="1">
      <c r="B952" s="8"/>
      <c r="C952" s="9"/>
      <c r="D952" s="6"/>
      <c r="E952" s="10"/>
      <c r="F952" s="6"/>
    </row>
    <row r="953" ht="15.75" customHeight="1">
      <c r="B953" s="8"/>
      <c r="C953" s="9"/>
      <c r="D953" s="6"/>
      <c r="E953" s="10"/>
      <c r="F953" s="6"/>
    </row>
    <row r="954" ht="15.75" customHeight="1">
      <c r="B954" s="8"/>
      <c r="C954" s="9"/>
      <c r="D954" s="6"/>
      <c r="E954" s="10"/>
      <c r="F954" s="6"/>
    </row>
    <row r="955" ht="15.75" customHeight="1">
      <c r="B955" s="8"/>
      <c r="C955" s="9"/>
      <c r="D955" s="6"/>
      <c r="E955" s="10"/>
      <c r="F955" s="6"/>
    </row>
    <row r="956" ht="15.75" customHeight="1">
      <c r="B956" s="8"/>
      <c r="C956" s="9"/>
      <c r="D956" s="6"/>
      <c r="E956" s="10"/>
      <c r="F956" s="6"/>
    </row>
    <row r="957" ht="15.75" customHeight="1">
      <c r="B957" s="8"/>
      <c r="C957" s="9"/>
      <c r="D957" s="6"/>
      <c r="E957" s="10"/>
      <c r="F957" s="6"/>
    </row>
    <row r="958" ht="15.75" customHeight="1">
      <c r="B958" s="8"/>
      <c r="C958" s="9"/>
      <c r="D958" s="6"/>
      <c r="E958" s="10"/>
      <c r="F958" s="6"/>
    </row>
    <row r="959" ht="15.75" customHeight="1">
      <c r="B959" s="8"/>
      <c r="C959" s="9"/>
      <c r="D959" s="6"/>
      <c r="E959" s="10"/>
      <c r="F959" s="6"/>
    </row>
    <row r="960" ht="15.75" customHeight="1">
      <c r="B960" s="8"/>
      <c r="C960" s="9"/>
      <c r="D960" s="6"/>
      <c r="E960" s="10"/>
      <c r="F960" s="6"/>
    </row>
    <row r="961" ht="15.75" customHeight="1">
      <c r="B961" s="8"/>
      <c r="C961" s="9"/>
      <c r="D961" s="6"/>
      <c r="E961" s="10"/>
      <c r="F961" s="6"/>
    </row>
    <row r="962" ht="15.75" customHeight="1">
      <c r="B962" s="8"/>
      <c r="C962" s="9"/>
      <c r="D962" s="6"/>
      <c r="E962" s="10"/>
      <c r="F962" s="6"/>
    </row>
    <row r="963" ht="15.75" customHeight="1">
      <c r="B963" s="8"/>
      <c r="C963" s="9"/>
      <c r="D963" s="6"/>
      <c r="E963" s="10"/>
      <c r="F963" s="6"/>
    </row>
    <row r="964" ht="15.75" customHeight="1">
      <c r="B964" s="8"/>
      <c r="C964" s="9"/>
      <c r="D964" s="6"/>
      <c r="E964" s="10"/>
      <c r="F964" s="6"/>
    </row>
    <row r="965" ht="15.75" customHeight="1">
      <c r="B965" s="8"/>
      <c r="C965" s="9"/>
      <c r="D965" s="6"/>
      <c r="E965" s="10"/>
      <c r="F965" s="6"/>
    </row>
    <row r="966" ht="15.75" customHeight="1">
      <c r="B966" s="8"/>
      <c r="C966" s="9"/>
      <c r="D966" s="6"/>
      <c r="E966" s="10"/>
      <c r="F966" s="6"/>
    </row>
    <row r="967" ht="15.75" customHeight="1">
      <c r="B967" s="8"/>
      <c r="C967" s="9"/>
      <c r="D967" s="6"/>
      <c r="E967" s="10"/>
      <c r="F967" s="6"/>
    </row>
    <row r="968" ht="15.75" customHeight="1">
      <c r="B968" s="8"/>
      <c r="C968" s="9"/>
      <c r="D968" s="6"/>
      <c r="E968" s="10"/>
      <c r="F968" s="6"/>
    </row>
    <row r="969" ht="15.75" customHeight="1">
      <c r="B969" s="8"/>
      <c r="C969" s="9"/>
      <c r="D969" s="6"/>
      <c r="E969" s="10"/>
      <c r="F969" s="6"/>
    </row>
    <row r="970" ht="15.75" customHeight="1">
      <c r="B970" s="8"/>
      <c r="C970" s="9"/>
      <c r="D970" s="6"/>
      <c r="E970" s="10"/>
      <c r="F970" s="6"/>
    </row>
    <row r="971" ht="15.75" customHeight="1">
      <c r="B971" s="8"/>
      <c r="C971" s="9"/>
      <c r="D971" s="6"/>
      <c r="E971" s="10"/>
      <c r="F971" s="6"/>
    </row>
    <row r="972" ht="15.75" customHeight="1">
      <c r="B972" s="8"/>
      <c r="C972" s="9"/>
      <c r="D972" s="6"/>
      <c r="E972" s="10"/>
      <c r="F972" s="6"/>
    </row>
    <row r="973" ht="15.75" customHeight="1">
      <c r="B973" s="8"/>
      <c r="C973" s="9"/>
      <c r="D973" s="6"/>
      <c r="E973" s="10"/>
      <c r="F973" s="6"/>
    </row>
    <row r="974" ht="15.75" customHeight="1">
      <c r="B974" s="8"/>
      <c r="C974" s="9"/>
      <c r="D974" s="6"/>
      <c r="E974" s="10"/>
      <c r="F974" s="6"/>
    </row>
    <row r="975" ht="15.75" customHeight="1">
      <c r="B975" s="8"/>
      <c r="C975" s="9"/>
      <c r="D975" s="6"/>
      <c r="E975" s="10"/>
      <c r="F975" s="6"/>
    </row>
    <row r="976" ht="15.75" customHeight="1">
      <c r="B976" s="8"/>
      <c r="C976" s="9"/>
      <c r="D976" s="6"/>
      <c r="E976" s="10"/>
      <c r="F976" s="6"/>
    </row>
    <row r="977" ht="15.75" customHeight="1">
      <c r="B977" s="8"/>
      <c r="C977" s="9"/>
      <c r="D977" s="6"/>
      <c r="E977" s="10"/>
      <c r="F977" s="6"/>
    </row>
    <row r="978" ht="15.75" customHeight="1">
      <c r="B978" s="8"/>
      <c r="C978" s="9"/>
      <c r="D978" s="6"/>
      <c r="E978" s="10"/>
      <c r="F978" s="6"/>
    </row>
    <row r="979" ht="15.75" customHeight="1">
      <c r="B979" s="8"/>
      <c r="C979" s="9"/>
      <c r="D979" s="6"/>
      <c r="E979" s="10"/>
      <c r="F979" s="6"/>
    </row>
    <row r="980" ht="15.75" customHeight="1">
      <c r="B980" s="8"/>
      <c r="C980" s="9"/>
      <c r="D980" s="6"/>
      <c r="E980" s="10"/>
      <c r="F980" s="6"/>
    </row>
    <row r="981" ht="15.75" customHeight="1">
      <c r="B981" s="8"/>
      <c r="C981" s="9"/>
      <c r="D981" s="6"/>
      <c r="E981" s="10"/>
      <c r="F981" s="6"/>
    </row>
    <row r="982" ht="15.75" customHeight="1">
      <c r="B982" s="8"/>
      <c r="C982" s="9"/>
      <c r="D982" s="6"/>
      <c r="E982" s="10"/>
      <c r="F982" s="6"/>
    </row>
    <row r="983" ht="15.75" customHeight="1">
      <c r="B983" s="8"/>
      <c r="C983" s="9"/>
      <c r="D983" s="6"/>
      <c r="E983" s="10"/>
      <c r="F983" s="6"/>
    </row>
    <row r="984" ht="15.75" customHeight="1">
      <c r="B984" s="8"/>
      <c r="C984" s="9"/>
      <c r="D984" s="6"/>
      <c r="E984" s="10"/>
      <c r="F984" s="6"/>
    </row>
    <row r="985" ht="15.75" customHeight="1">
      <c r="B985" s="8"/>
      <c r="C985" s="9"/>
      <c r="D985" s="6"/>
      <c r="E985" s="10"/>
      <c r="F985" s="6"/>
    </row>
    <row r="986" ht="15.75" customHeight="1">
      <c r="B986" s="8"/>
      <c r="C986" s="9"/>
      <c r="D986" s="6"/>
      <c r="E986" s="10"/>
      <c r="F986" s="6"/>
    </row>
    <row r="987" ht="15.75" customHeight="1">
      <c r="B987" s="8"/>
      <c r="C987" s="9"/>
      <c r="D987" s="6"/>
      <c r="E987" s="10"/>
      <c r="F987" s="6"/>
    </row>
    <row r="988" ht="15.75" customHeight="1">
      <c r="B988" s="8"/>
      <c r="C988" s="9"/>
      <c r="D988" s="6"/>
      <c r="E988" s="10"/>
      <c r="F988" s="6"/>
    </row>
    <row r="989" ht="15.75" customHeight="1">
      <c r="B989" s="8"/>
      <c r="C989" s="9"/>
      <c r="D989" s="6"/>
      <c r="E989" s="10"/>
      <c r="F989" s="6"/>
    </row>
    <row r="990" ht="15.75" customHeight="1">
      <c r="B990" s="8"/>
      <c r="C990" s="9"/>
      <c r="D990" s="6"/>
      <c r="E990" s="10"/>
      <c r="F990" s="6"/>
    </row>
    <row r="991" ht="15.75" customHeight="1">
      <c r="B991" s="8"/>
      <c r="C991" s="9"/>
      <c r="D991" s="6"/>
      <c r="E991" s="10"/>
      <c r="F991" s="6"/>
    </row>
    <row r="992" ht="15.75" customHeight="1">
      <c r="B992" s="8"/>
      <c r="C992" s="9"/>
      <c r="D992" s="6"/>
      <c r="E992" s="10"/>
      <c r="F992" s="6"/>
    </row>
    <row r="993" ht="15.75" customHeight="1">
      <c r="B993" s="8"/>
      <c r="C993" s="9"/>
      <c r="D993" s="6"/>
      <c r="E993" s="10"/>
      <c r="F993" s="6"/>
    </row>
    <row r="994" ht="15.75" customHeight="1">
      <c r="B994" s="8"/>
      <c r="C994" s="9"/>
      <c r="D994" s="6"/>
      <c r="E994" s="10"/>
      <c r="F994" s="6"/>
    </row>
    <row r="995" ht="15.75" customHeight="1">
      <c r="B995" s="8"/>
      <c r="C995" s="9"/>
      <c r="D995" s="6"/>
      <c r="E995" s="10"/>
      <c r="F995" s="6"/>
    </row>
    <row r="996" ht="15.75" customHeight="1">
      <c r="B996" s="8"/>
      <c r="C996" s="9"/>
      <c r="D996" s="6"/>
      <c r="E996" s="10"/>
      <c r="F996" s="6"/>
    </row>
    <row r="997" ht="15.75" customHeight="1">
      <c r="B997" s="8"/>
      <c r="C997" s="9"/>
      <c r="D997" s="6"/>
      <c r="E997" s="10"/>
      <c r="F997" s="6"/>
    </row>
    <row r="998" ht="15.75" customHeight="1">
      <c r="B998" s="8"/>
      <c r="C998" s="9"/>
      <c r="D998" s="6"/>
      <c r="E998" s="10"/>
      <c r="F998" s="6"/>
    </row>
    <row r="999" ht="15.75" customHeight="1">
      <c r="B999" s="8"/>
      <c r="C999" s="9"/>
      <c r="D999" s="6"/>
      <c r="E999" s="10"/>
      <c r="F999" s="6"/>
    </row>
    <row r="1000" ht="15.75" customHeight="1">
      <c r="B1000" s="8"/>
      <c r="C1000" s="9"/>
      <c r="D1000" s="6"/>
      <c r="E1000" s="10"/>
      <c r="F1000" s="6"/>
    </row>
  </sheetData>
  <mergeCells count="31">
    <mergeCell ref="B2:F2"/>
    <mergeCell ref="B4:F8"/>
    <mergeCell ref="B10:F10"/>
    <mergeCell ref="B11:C11"/>
    <mergeCell ref="D11:F11"/>
    <mergeCell ref="B12:C12"/>
    <mergeCell ref="D12:F12"/>
    <mergeCell ref="B13:C13"/>
    <mergeCell ref="D13:F13"/>
    <mergeCell ref="B14:C14"/>
    <mergeCell ref="D14:F14"/>
    <mergeCell ref="B15:C15"/>
    <mergeCell ref="D15:F15"/>
    <mergeCell ref="D16:F16"/>
    <mergeCell ref="D17:F17"/>
    <mergeCell ref="B16:C16"/>
    <mergeCell ref="B17:C17"/>
    <mergeCell ref="B20:C20"/>
    <mergeCell ref="B26:C26"/>
    <mergeCell ref="B39:C39"/>
    <mergeCell ref="B45:C45"/>
    <mergeCell ref="B50:C50"/>
    <mergeCell ref="B102:C102"/>
    <mergeCell ref="B108:C108"/>
    <mergeCell ref="B54:C54"/>
    <mergeCell ref="B61:C61"/>
    <mergeCell ref="B69:C69"/>
    <mergeCell ref="B79:C79"/>
    <mergeCell ref="B85:C85"/>
    <mergeCell ref="B89:C89"/>
    <mergeCell ref="B93:C93"/>
  </mergeCells>
  <dataValidations>
    <dataValidation type="list" allowBlank="1" showErrorMessage="1" sqref="E27:E29 E31:E34 E41 E62 E65 E95 E97:E101 E107 E109:E113">
      <formula1>"A,B"</formula1>
    </dataValidation>
    <dataValidation type="list" allowBlank="1" showErrorMessage="1" sqref="E21 E23 E37 E40 E43:E44 E46:E47 E53 E55 E57 E71 E78 E86 E90 E94 E104 E106">
      <formula1>"A,B,C"</formula1>
    </dataValidation>
    <dataValidation type="list" allowBlank="1" showErrorMessage="1" sqref="E73 E75:E77">
      <formula1>"A,B,C,D,E"</formula1>
    </dataValidation>
    <dataValidation type="list" allowBlank="1" showErrorMessage="1" sqref="E24:E25 E30 E35:E36 E38 E51:E52 E58:E59 E80 E83:E84 E87:E88 E92 E96">
      <formula1>"No aplica"</formula1>
    </dataValidation>
    <dataValidation type="list" allowBlank="1" showErrorMessage="1" sqref="E22 E42 E48:E49 E56 E60 E63:E64 E66:E68 E70 E72 E74 E81:E82 E91 E103 E105 E114:E117">
      <formula1>"A,B,C,D"</formula1>
    </dataValidation>
  </dataValidations>
  <hyperlinks>
    <hyperlink r:id="rId1" ref="D14"/>
  </hyperlinks>
  <printOptions/>
  <pageMargins bottom="0.75" footer="0.0" header="0.0" left="0.7" right="0.7" top="0.75"/>
  <pageSetup fitToHeight="0" paperSize="9" orientation="portrait"/>
  <drawing r:id="rId2"/>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8">
    <pageSetUpPr/>
  </sheetPr>
  <sheetViews>
    <sheetView showGridLines="0" workbookViewId="0"/>
  </sheetViews>
  <sheetFormatPr customHeight="1" defaultColWidth="12.63" defaultRowHeight="15.0"/>
  <cols>
    <col customWidth="1" min="1" max="1" width="4.13"/>
    <col customWidth="1" min="2" max="2" width="70.88"/>
    <col customWidth="1" min="3" max="3" width="31.63"/>
    <col customWidth="1" min="4" max="4" width="26.63"/>
    <col customWidth="1" min="5" max="5" width="6.25"/>
    <col customWidth="1" min="6" max="26" width="10.63"/>
  </cols>
  <sheetData>
    <row r="1">
      <c r="A1" s="52" t="s">
        <v>246</v>
      </c>
      <c r="B1" s="52"/>
      <c r="C1" s="52"/>
      <c r="D1" s="53"/>
      <c r="E1" s="54"/>
    </row>
    <row r="2">
      <c r="A2" s="55"/>
      <c r="B2" s="55"/>
      <c r="C2" s="55"/>
      <c r="D2" s="56"/>
      <c r="E2" s="54"/>
    </row>
    <row r="3">
      <c r="A3" s="57"/>
      <c r="B3" s="58" t="s">
        <v>247</v>
      </c>
      <c r="C3" s="58" t="s">
        <v>248</v>
      </c>
      <c r="D3" s="53"/>
      <c r="E3" s="54"/>
    </row>
    <row r="4">
      <c r="A4" s="59"/>
      <c r="B4" s="60" t="str">
        <f>+'Categorías'!B4</f>
        <v>General</v>
      </c>
      <c r="C4" s="61">
        <f>IF(D24&gt;0,D24,"")</f>
        <v>85</v>
      </c>
      <c r="D4" s="62" t="str">
        <f>+IF(AND(C4&lt;&gt;"")*OR(D28="Pendiente calificar",D29="Pendiente calificar"),"Preguntas requieren calificación","")</f>
        <v/>
      </c>
      <c r="E4" s="54"/>
    </row>
    <row r="5">
      <c r="A5" s="57"/>
      <c r="B5" s="63" t="str">
        <f>+'Categorías'!B6</f>
        <v>Información Digital</v>
      </c>
      <c r="C5" s="64">
        <f>+IF(D30&gt;0,D30,"")</f>
        <v>67.5</v>
      </c>
      <c r="D5" s="62" t="str">
        <f>+IF(AND(C5&lt;&gt;"")*OR(D34="Pendiente calificar",D39="Pendiente calificar",D40="Pendiente calificar",D42="Pendiente calificar"),"Preguntas requieren calificación","")</f>
        <v>Preguntas requieren calificación</v>
      </c>
      <c r="E5" s="54"/>
    </row>
    <row r="6" hidden="1">
      <c r="A6" s="57"/>
      <c r="B6" s="63" t="str">
        <f>+'Categorías'!B8</f>
        <v>Información Física</v>
      </c>
      <c r="C6" s="64" t="str">
        <f>+IF(D43&gt;0,D43,"")</f>
        <v/>
      </c>
      <c r="D6" s="62"/>
      <c r="E6" s="54"/>
    </row>
    <row r="7" hidden="1">
      <c r="A7" s="57"/>
      <c r="B7" s="63" t="str">
        <f>+'Categorías'!B10</f>
        <v>Movimiento de Efectivo</v>
      </c>
      <c r="C7" s="64" t="str">
        <f>+IF(D49&gt;0,D49,"")</f>
        <v/>
      </c>
      <c r="D7" s="62"/>
      <c r="E7" s="54"/>
    </row>
    <row r="8" hidden="1">
      <c r="A8" s="57"/>
      <c r="B8" s="63" t="str">
        <f>+'Categorías'!B12</f>
        <v>Seguridad Física</v>
      </c>
      <c r="C8" s="64" t="str">
        <f>+IF(D54&gt;0,D54,"")</f>
        <v/>
      </c>
      <c r="D8" s="62" t="str">
        <f>+IF(AND(C8&lt;&gt;"")*OR(D55="Pendiente calificar",D56="Pendiente calificar"),"Preguntas requieren calificación","")</f>
        <v/>
      </c>
      <c r="E8" s="54"/>
    </row>
    <row r="9" hidden="1">
      <c r="A9" s="57"/>
      <c r="B9" s="63" t="str">
        <f>+'Categorías'!B14</f>
        <v>Consulta o Asesoría</v>
      </c>
      <c r="C9" s="64" t="str">
        <f>+IF(D58&gt;0,D58,"")</f>
        <v/>
      </c>
      <c r="D9" s="62" t="str">
        <f>+IF(AND(C9&lt;&gt;"")*OR(D62="Pendiente calificar",D63="Pendiente calificar"),"Preguntas requieren calificación","")</f>
        <v/>
      </c>
      <c r="E9" s="54"/>
    </row>
    <row r="10">
      <c r="A10" s="57"/>
      <c r="B10" s="63" t="str">
        <f>+'Categorías'!B16</f>
        <v>Continuidad del Negocio</v>
      </c>
      <c r="C10" s="64">
        <f>+IF(D65&gt;0,D65,"")</f>
        <v>81</v>
      </c>
      <c r="D10" s="62"/>
      <c r="E10" s="54"/>
    </row>
    <row r="11">
      <c r="A11" s="57"/>
      <c r="B11" s="63" t="str">
        <f>+'Categorías'!F4</f>
        <v>Mantenimiento e Instalación</v>
      </c>
      <c r="C11" s="64">
        <f>+IF(D73&gt;0,D73,"")</f>
        <v>58</v>
      </c>
      <c r="D11" s="62"/>
      <c r="E11" s="54"/>
    </row>
    <row r="12" hidden="1">
      <c r="A12" s="57"/>
      <c r="B12" s="63" t="str">
        <f>+'Categorías'!F6</f>
        <v>Trámites</v>
      </c>
      <c r="C12" s="64" t="str">
        <f>+IF(D83&gt;0,D83,"")</f>
        <v/>
      </c>
      <c r="D12" s="62" t="str">
        <f>+IF(AND(C12&lt;&gt;"")*OR(D84="Pendiente calificar",D87="Pendiente calificar",D88="Pendiente calificar"),"Preguntas requieren calificación","")</f>
        <v/>
      </c>
      <c r="E12" s="54"/>
    </row>
    <row r="13" hidden="1">
      <c r="A13" s="57"/>
      <c r="B13" s="63" t="str">
        <f>+'Categorías'!F8</f>
        <v>Arrendamientos Bienes Inmuebles</v>
      </c>
      <c r="C13" s="64" t="str">
        <f>+IF(D89&gt;0,D89,"")</f>
        <v/>
      </c>
      <c r="D13" s="62" t="str">
        <f>+IF(AND(C13&lt;&gt;"")*OR(D91="Pendiente calificar",D92="Pendiente calificar"),"Preguntas requieren calificación","")</f>
        <v/>
      </c>
      <c r="E13" s="54"/>
    </row>
    <row r="14" hidden="1">
      <c r="A14" s="57"/>
      <c r="B14" s="63" t="str">
        <f>+'Categorías'!F10</f>
        <v>Corretaje</v>
      </c>
      <c r="C14" s="64" t="str">
        <f>+IF(D93&gt;0,D93,"")</f>
        <v/>
      </c>
      <c r="D14" s="62" t="str">
        <f>+IF(AND(C14&lt;&gt;"")*OR(D96="Pendiente calificar"),"Preguntas requieren calificación","")</f>
        <v/>
      </c>
      <c r="E14" s="54"/>
    </row>
    <row r="15">
      <c r="A15" s="59"/>
      <c r="B15" s="63" t="str">
        <f>+'Categorías'!F12</f>
        <v>Accesos a Servidores o Aplicativos</v>
      </c>
      <c r="C15" s="64">
        <f>+IF(D97&gt;0,D97,"")</f>
        <v>30</v>
      </c>
      <c r="D15" s="62" t="str">
        <f>+IF(AND(C15&lt;&gt;"")*OR(D100="Pendiente calificar"),"Preguntas requieren calificación","")</f>
        <v>Preguntas requieren calificación</v>
      </c>
      <c r="E15" s="54"/>
    </row>
    <row r="16" hidden="1">
      <c r="A16" s="59"/>
      <c r="B16" s="63" t="str">
        <f>+'Categorías'!F14</f>
        <v>Desarrollo o Uso de Modelos</v>
      </c>
      <c r="C16" s="64" t="str">
        <f>+IF(D106&gt;0,D106,"")</f>
        <v/>
      </c>
      <c r="D16" s="62"/>
      <c r="E16" s="54"/>
    </row>
    <row r="17">
      <c r="A17" s="59"/>
      <c r="B17" s="63" t="str">
        <f>+'Categorías'!F16</f>
        <v>Desarrollo y soporte de Software</v>
      </c>
      <c r="C17" s="64">
        <f>+IF(D112&gt;0,D112,"")</f>
        <v>98</v>
      </c>
      <c r="D17" s="62"/>
      <c r="E17" s="54"/>
    </row>
    <row r="18">
      <c r="A18" s="59"/>
      <c r="B18" s="65" t="s">
        <v>249</v>
      </c>
      <c r="C18" s="59">
        <f>IFERROR((SUM(C4:C17))/(COUNT(C4:C17)),"")</f>
        <v>69.91666667</v>
      </c>
      <c r="D18" s="53"/>
      <c r="E18" s="54"/>
    </row>
    <row r="19" ht="31.5" customHeight="1">
      <c r="A19" s="59"/>
      <c r="B19" s="66" t="s">
        <v>250</v>
      </c>
      <c r="C19" s="67" t="str">
        <f>IF(C18&lt;=20,"1 - No cumple",
IF(C18&lt;=60,"2 - No cumple/tiene plan de acción",
IF(C18&lt;=70,"3 - Cumple parcialmente y tiene oportunidades de mejora",
IF(C18&lt;=90,"4 - Cumple con lo solicitado",
IF(C18&lt;=100,"5 - Excede las expectativas","")))))</f>
        <v>3 - Cumple parcialmente y tiene oportunidades de mejora</v>
      </c>
      <c r="D19" s="53"/>
      <c r="E19" s="54"/>
    </row>
    <row r="20">
      <c r="A20" s="57"/>
      <c r="B20" s="68"/>
      <c r="C20" s="68"/>
      <c r="D20" s="53"/>
      <c r="E20" s="54"/>
    </row>
    <row r="21" ht="15.75" customHeight="1">
      <c r="A21" s="69" t="s">
        <v>251</v>
      </c>
      <c r="B21" s="2"/>
      <c r="C21" s="2"/>
      <c r="D21" s="3"/>
      <c r="E21" s="54"/>
    </row>
    <row r="22" ht="15.75" customHeight="1">
      <c r="A22" s="55"/>
      <c r="B22" s="55"/>
      <c r="C22" s="55"/>
      <c r="D22" s="56"/>
      <c r="E22" s="54"/>
    </row>
    <row r="23" ht="30.0" customHeight="1">
      <c r="A23" s="29" t="s">
        <v>32</v>
      </c>
      <c r="B23" s="30" t="s">
        <v>33</v>
      </c>
      <c r="C23" s="70" t="s">
        <v>252</v>
      </c>
      <c r="D23" s="30" t="s">
        <v>253</v>
      </c>
      <c r="E23" s="54"/>
    </row>
    <row r="24" ht="14.25" customHeight="1">
      <c r="A24" s="71" t="s">
        <v>37</v>
      </c>
      <c r="B24" s="32"/>
      <c r="C24" s="72"/>
      <c r="D24" s="73">
        <f>+SUM(D25:D29)</f>
        <v>85</v>
      </c>
      <c r="E24" s="54"/>
    </row>
    <row r="25" ht="15.75" customHeight="1">
      <c r="A25" s="74">
        <v>1.0</v>
      </c>
      <c r="B25" s="75" t="s">
        <v>38</v>
      </c>
      <c r="C25" s="76">
        <v>25.0</v>
      </c>
      <c r="D25" s="42">
        <f>IF(Cuestionario!E21="A",0,
IF(Cuestionario!E21="B",10,
IF(Cuestionario!E21="C",25,
"")))</f>
        <v>10</v>
      </c>
      <c r="E25" s="54"/>
    </row>
    <row r="26" ht="15.75" customHeight="1">
      <c r="A26" s="74">
        <v>2.0</v>
      </c>
      <c r="B26" s="75" t="s">
        <v>42</v>
      </c>
      <c r="C26" s="76">
        <v>25.0</v>
      </c>
      <c r="D26" s="42">
        <f>IF(Cuestionario!E22="A",0,
IF(Cuestionario!E22="B",5,
IF(Cuestionario!E22="C",10,
IF(Cuestionario!E22="D",25,
""))))</f>
        <v>25</v>
      </c>
      <c r="E26" s="54"/>
    </row>
    <row r="27" ht="15.75" customHeight="1">
      <c r="A27" s="74">
        <v>3.0</v>
      </c>
      <c r="B27" s="75" t="s">
        <v>46</v>
      </c>
      <c r="C27" s="77">
        <v>20.0</v>
      </c>
      <c r="D27" s="42">
        <f>IF(Cuestionario!E23="A",5,
IF(Cuestionario!E23="B",10,
IF(Cuestionario!E23="C",20,
"")))</f>
        <v>20</v>
      </c>
      <c r="E27" s="54"/>
    </row>
    <row r="28" ht="15.75" customHeight="1">
      <c r="A28" s="74">
        <v>4.0</v>
      </c>
      <c r="B28" s="78" t="s">
        <v>50</v>
      </c>
      <c r="C28" s="77">
        <v>15.0</v>
      </c>
      <c r="D28" s="42">
        <f>IF(Cuestionario!E24="No aplica",C28,
IF(E28=0,"Pendiente calificar",E28))</f>
        <v>15</v>
      </c>
      <c r="E28" s="79"/>
    </row>
    <row r="29" ht="15.75" customHeight="1">
      <c r="A29" s="80">
        <v>5.0</v>
      </c>
      <c r="B29" s="81" t="s">
        <v>54</v>
      </c>
      <c r="C29" s="77">
        <v>15.0</v>
      </c>
      <c r="D29" s="42">
        <f>IF(Cuestionario!E25="No aplica",C29,
IF(E29=0,"Pendiente calificar",E29))</f>
        <v>15</v>
      </c>
      <c r="E29" s="79"/>
    </row>
    <row r="30" ht="14.25" customHeight="1">
      <c r="A30" s="71" t="s">
        <v>56</v>
      </c>
      <c r="B30" s="32"/>
      <c r="C30" s="82"/>
      <c r="D30" s="83">
        <f>+SUM(D31:D42)</f>
        <v>67.5</v>
      </c>
      <c r="E30" s="54"/>
    </row>
    <row r="31" ht="15.75" customHeight="1">
      <c r="A31" s="74">
        <v>1.0</v>
      </c>
      <c r="B31" s="75" t="s">
        <v>57</v>
      </c>
      <c r="C31" s="77">
        <v>10.0</v>
      </c>
      <c r="D31" s="42">
        <f>IF(Cuestionario!E27="A",10,
IF(Cuestionario!E27="B",0,
""))</f>
        <v>10</v>
      </c>
      <c r="E31" s="54"/>
    </row>
    <row r="32" ht="15.75" customHeight="1">
      <c r="A32" s="74">
        <v>2.0</v>
      </c>
      <c r="B32" s="75" t="s">
        <v>254</v>
      </c>
      <c r="C32" s="77">
        <v>10.0</v>
      </c>
      <c r="D32" s="42">
        <f>IF(Cuestionario!E28="A",10,
IF(Cuestionario!E28="B",0,
""))</f>
        <v>10</v>
      </c>
      <c r="E32" s="54"/>
    </row>
    <row r="33" ht="15.75" customHeight="1">
      <c r="A33" s="74">
        <v>3.0</v>
      </c>
      <c r="B33" s="75" t="s">
        <v>64</v>
      </c>
      <c r="C33" s="77">
        <v>15.0</v>
      </c>
      <c r="D33" s="42">
        <f>IF(Cuestionario!E29="A",15,
IF(Cuestionario!E29="B",0,
""))</f>
        <v>15</v>
      </c>
      <c r="E33" s="54"/>
    </row>
    <row r="34" ht="15.75" customHeight="1">
      <c r="A34" s="74">
        <v>4.0</v>
      </c>
      <c r="B34" s="75" t="s">
        <v>67</v>
      </c>
      <c r="C34" s="77">
        <v>7.5</v>
      </c>
      <c r="D34" s="42" t="str">
        <f>IF(Cuestionario!E30="No aplica",C34,
IF(E34=0,"Pendiente calificar",E34))</f>
        <v>Pendiente calificar</v>
      </c>
      <c r="E34" s="79"/>
    </row>
    <row r="35" ht="15.75" customHeight="1">
      <c r="A35" s="74">
        <v>5.0</v>
      </c>
      <c r="B35" s="75" t="s">
        <v>69</v>
      </c>
      <c r="C35" s="77">
        <v>10.0</v>
      </c>
      <c r="D35" s="42">
        <f>IF(Cuestionario!E31="A",10,
IF(Cuestionario!E31="B",0,
""))</f>
        <v>10</v>
      </c>
      <c r="E35" s="54"/>
    </row>
    <row r="36" ht="15.75" customHeight="1">
      <c r="A36" s="74">
        <v>6.0</v>
      </c>
      <c r="B36" s="75" t="s">
        <v>72</v>
      </c>
      <c r="C36" s="77">
        <v>5.0</v>
      </c>
      <c r="D36" s="42">
        <f>IF(Cuestionario!E32="A",5,
IF(Cuestionario!E32="B",0,
""))</f>
        <v>5</v>
      </c>
      <c r="E36" s="54"/>
    </row>
    <row r="37" ht="15.75" customHeight="1">
      <c r="A37" s="74">
        <v>7.0</v>
      </c>
      <c r="B37" s="75" t="s">
        <v>75</v>
      </c>
      <c r="C37" s="77">
        <v>5.0</v>
      </c>
      <c r="D37" s="42">
        <f>IF(Cuestionario!E33="A",5,
IF(Cuestionario!E33="B",0,
""))</f>
        <v>5</v>
      </c>
      <c r="E37" s="54"/>
    </row>
    <row r="38" ht="24.75" customHeight="1">
      <c r="A38" s="74">
        <v>8.0</v>
      </c>
      <c r="B38" s="75" t="s">
        <v>78</v>
      </c>
      <c r="C38" s="77">
        <v>7.5</v>
      </c>
      <c r="D38" s="42">
        <f>IF(Cuestionario!E34="A",7.5,
IF(Cuestionario!E34="B",0,
""))</f>
        <v>7.5</v>
      </c>
      <c r="E38" s="54"/>
    </row>
    <row r="39" ht="24.75" customHeight="1">
      <c r="A39" s="74">
        <v>9.0</v>
      </c>
      <c r="B39" s="75" t="s">
        <v>81</v>
      </c>
      <c r="C39" s="77">
        <v>5.0</v>
      </c>
      <c r="D39" s="42">
        <f>IF(Cuestionario!E35="No aplica",C39,
IF(E39=0,"Pendiente calificar",E39))</f>
        <v>5</v>
      </c>
      <c r="E39" s="79"/>
    </row>
    <row r="40" ht="24.75" customHeight="1">
      <c r="A40" s="74">
        <v>10.0</v>
      </c>
      <c r="B40" s="75" t="s">
        <v>83</v>
      </c>
      <c r="C40" s="77">
        <v>5.0</v>
      </c>
      <c r="D40" s="42" t="str">
        <f>IF(Cuestionario!E36="No aplica",C40,
IF(E40=0,"Pendiente calificar",E40))</f>
        <v>Pendiente calificar</v>
      </c>
      <c r="E40" s="79"/>
    </row>
    <row r="41" ht="24.75" customHeight="1">
      <c r="A41" s="36">
        <v>11.0</v>
      </c>
      <c r="B41" s="37" t="s">
        <v>85</v>
      </c>
      <c r="C41" s="84">
        <v>15.0</v>
      </c>
      <c r="D41" s="42" t="str">
        <f>IF(Cuestionario!E37="A",15,
IF(Cuestionario!E37="B",0,
""))</f>
        <v/>
      </c>
      <c r="E41" s="54"/>
    </row>
    <row r="42" ht="24.75" customHeight="1">
      <c r="A42" s="36">
        <v>12.0</v>
      </c>
      <c r="B42" s="37" t="s">
        <v>88</v>
      </c>
      <c r="C42" s="84">
        <v>5.0</v>
      </c>
      <c r="D42" s="42" t="str">
        <f>IF(Cuestionario!E38="No aplica",C42,
IF(E42=0,"Pendiente calificar",E42))</f>
        <v>Pendiente calificar</v>
      </c>
      <c r="E42" s="79"/>
    </row>
    <row r="43" ht="14.25" hidden="1" customHeight="1">
      <c r="A43" s="71" t="s">
        <v>90</v>
      </c>
      <c r="B43" s="32"/>
      <c r="C43" s="82"/>
      <c r="D43" s="85">
        <f>+SUM(D44:D48)</f>
        <v>0</v>
      </c>
      <c r="E43" s="54"/>
    </row>
    <row r="44" ht="15.75" hidden="1" customHeight="1">
      <c r="A44" s="74">
        <v>1.0</v>
      </c>
      <c r="B44" s="75" t="s">
        <v>91</v>
      </c>
      <c r="C44" s="77">
        <v>30.0</v>
      </c>
      <c r="D44" s="42" t="str">
        <f>IF(Cuestionario!E40="A",10,
IF(Cuestionario!E40="B",15,
IF(Cuestionario!E40="C",30,
"")))</f>
        <v/>
      </c>
      <c r="E44" s="54"/>
    </row>
    <row r="45" ht="15.75" hidden="1" customHeight="1">
      <c r="A45" s="74">
        <v>2.0</v>
      </c>
      <c r="B45" s="75" t="s">
        <v>93</v>
      </c>
      <c r="C45" s="77">
        <v>10.0</v>
      </c>
      <c r="D45" s="42" t="str">
        <f>IF(Cuestionario!E41="A",0,
IF(Cuestionario!E41="B",10,
""))</f>
        <v/>
      </c>
      <c r="E45" s="54"/>
    </row>
    <row r="46" ht="15.75" hidden="1" customHeight="1">
      <c r="A46" s="74">
        <v>3.0</v>
      </c>
      <c r="B46" s="75" t="s">
        <v>95</v>
      </c>
      <c r="C46" s="77">
        <v>15.0</v>
      </c>
      <c r="D46" s="42" t="str">
        <f>IF(Cuestionario!E42="A",0,
IF(Cuestionario!E42="B",10,
IF(Cuestionario!E42="C",10,
IF(Cuestionario!E42="D",15,
""))))</f>
        <v/>
      </c>
      <c r="E46" s="54"/>
    </row>
    <row r="47" ht="15.75" hidden="1" customHeight="1">
      <c r="A47" s="74">
        <v>4.0</v>
      </c>
      <c r="B47" s="75" t="s">
        <v>97</v>
      </c>
      <c r="C47" s="77">
        <v>30.0</v>
      </c>
      <c r="D47" s="42" t="str">
        <f>IF(Cuestionario!E43="A",0,
IF(Cuestionario!E43="B",15,
IF(Cuestionario!E43="C",30,
"")))</f>
        <v/>
      </c>
      <c r="E47" s="54"/>
    </row>
    <row r="48" ht="15.75" hidden="1" customHeight="1">
      <c r="A48" s="74">
        <v>5.0</v>
      </c>
      <c r="B48" s="75" t="s">
        <v>99</v>
      </c>
      <c r="C48" s="77">
        <v>15.0</v>
      </c>
      <c r="D48" s="42" t="str">
        <f>IF(Cuestionario!E44="A",0,
IF(Cuestionario!E44="B",5,
IF(Cuestionario!E44="C",15,
"")))</f>
        <v/>
      </c>
      <c r="E48" s="54"/>
    </row>
    <row r="49" ht="14.25" hidden="1" customHeight="1">
      <c r="A49" s="71" t="s">
        <v>101</v>
      </c>
      <c r="B49" s="32"/>
      <c r="C49" s="82"/>
      <c r="D49" s="85">
        <f>+SUM(D50:D53)</f>
        <v>0</v>
      </c>
      <c r="E49" s="54"/>
    </row>
    <row r="50" ht="15.75" hidden="1" customHeight="1">
      <c r="A50" s="74">
        <v>1.0</v>
      </c>
      <c r="B50" s="75" t="s">
        <v>102</v>
      </c>
      <c r="C50" s="77">
        <v>20.0</v>
      </c>
      <c r="D50" s="42" t="str">
        <f>IF(Cuestionario!E46="A",0,
IF(Cuestionario!E46="B",10,
IF(Cuestionario!E46="C",20,
"")))</f>
        <v/>
      </c>
      <c r="E50" s="54"/>
    </row>
    <row r="51" ht="15.75" hidden="1" customHeight="1">
      <c r="A51" s="74">
        <v>2.0</v>
      </c>
      <c r="B51" s="75" t="s">
        <v>104</v>
      </c>
      <c r="C51" s="77">
        <v>20.0</v>
      </c>
      <c r="D51" s="42" t="str">
        <f>IF(Cuestionario!E47="A",0,
IF(Cuestionario!E47="B",10,
IF(Cuestionario!E47="C",20,
"")))</f>
        <v/>
      </c>
      <c r="E51" s="54"/>
    </row>
    <row r="52" ht="15.75" hidden="1" customHeight="1">
      <c r="A52" s="74">
        <v>3.0</v>
      </c>
      <c r="B52" s="75" t="s">
        <v>106</v>
      </c>
      <c r="C52" s="77">
        <v>30.0</v>
      </c>
      <c r="D52" s="42" t="str">
        <f>IF(Cuestionario!E48="A",0,
IF(Cuestionario!E48="B",5,
IF(Cuestionario!E48="C",15,
IF(Cuestionario!E48="D",30,
""))))</f>
        <v/>
      </c>
      <c r="E52" s="54"/>
    </row>
    <row r="53" ht="15.75" hidden="1" customHeight="1">
      <c r="A53" s="74">
        <v>4.0</v>
      </c>
      <c r="B53" s="75" t="s">
        <v>108</v>
      </c>
      <c r="C53" s="77">
        <v>30.0</v>
      </c>
      <c r="D53" s="42" t="str">
        <f>IF(Cuestionario!E49="A",0,
IF(Cuestionario!E49="B",5,
IF(Cuestionario!E49="C",15,
IF(Cuestionario!E49="D",30,
""))))</f>
        <v/>
      </c>
      <c r="E53" s="54"/>
    </row>
    <row r="54" ht="14.25" hidden="1" customHeight="1">
      <c r="A54" s="71" t="s">
        <v>110</v>
      </c>
      <c r="B54" s="32"/>
      <c r="C54" s="82"/>
      <c r="D54" s="85">
        <f>+SUM(D55:D57)</f>
        <v>0</v>
      </c>
      <c r="E54" s="54"/>
    </row>
    <row r="55" ht="15.75" hidden="1" customHeight="1">
      <c r="A55" s="74">
        <v>1.0</v>
      </c>
      <c r="B55" s="75" t="s">
        <v>111</v>
      </c>
      <c r="C55" s="77">
        <v>33.0</v>
      </c>
      <c r="D55" s="42" t="str">
        <f>IF(Cuestionario!E51="No aplica",C55,
IF(E55=0,"Pendiente calificar",E55))</f>
        <v>Pendiente calificar</v>
      </c>
      <c r="E55" s="79"/>
    </row>
    <row r="56" ht="15.75" hidden="1" customHeight="1">
      <c r="A56" s="74">
        <v>2.0</v>
      </c>
      <c r="B56" s="75" t="s">
        <v>112</v>
      </c>
      <c r="C56" s="77">
        <v>33.0</v>
      </c>
      <c r="D56" s="42" t="str">
        <f>IF(Cuestionario!E52="No aplica",C56,
IF(E56=0,"Pendiente calificar",E56))</f>
        <v>Pendiente calificar</v>
      </c>
      <c r="E56" s="79"/>
    </row>
    <row r="57" ht="15.75" hidden="1" customHeight="1">
      <c r="A57" s="74">
        <v>3.0</v>
      </c>
      <c r="B57" s="75" t="s">
        <v>102</v>
      </c>
      <c r="C57" s="77">
        <v>34.0</v>
      </c>
      <c r="D57" s="42" t="str">
        <f>IF(Cuestionario!E53="A",0,
IF(Cuestionario!E53="B",15,
IF(Cuestionario!E53="C",34,
"")))</f>
        <v/>
      </c>
      <c r="E57" s="54"/>
    </row>
    <row r="58" ht="14.25" hidden="1" customHeight="1">
      <c r="A58" s="71" t="s">
        <v>114</v>
      </c>
      <c r="B58" s="32"/>
      <c r="C58" s="82"/>
      <c r="D58" s="85">
        <f>+SUM(D59:D64)</f>
        <v>0</v>
      </c>
      <c r="E58" s="54"/>
    </row>
    <row r="59" ht="15.75" hidden="1" customHeight="1">
      <c r="A59" s="74">
        <v>1.0</v>
      </c>
      <c r="B59" s="75" t="s">
        <v>115</v>
      </c>
      <c r="C59" s="77">
        <v>10.0</v>
      </c>
      <c r="D59" s="42" t="str">
        <f>IF(Cuestionario!E55="A",10,
IF(Cuestionario!E55="B",5,
IF(Cuestionario!E55="C",10,
"")))</f>
        <v/>
      </c>
      <c r="E59" s="54"/>
    </row>
    <row r="60" ht="15.75" hidden="1" customHeight="1">
      <c r="A60" s="74">
        <v>2.0</v>
      </c>
      <c r="B60" s="75" t="s">
        <v>117</v>
      </c>
      <c r="C60" s="77">
        <v>20.0</v>
      </c>
      <c r="D60" s="42" t="str">
        <f>IF(Cuestionario!E56="A",0,
IF(Cuestionario!E56="B",5,
IF(Cuestionario!E56="C",15,
IF(Cuestionario!E56="D",20,
""))))</f>
        <v/>
      </c>
      <c r="E60" s="54"/>
    </row>
    <row r="61" ht="15.75" hidden="1" customHeight="1">
      <c r="A61" s="74">
        <v>3.0</v>
      </c>
      <c r="B61" s="75" t="s">
        <v>119</v>
      </c>
      <c r="C61" s="77">
        <v>20.0</v>
      </c>
      <c r="D61" s="42" t="str">
        <f>IF(Cuestionario!E57="A",0,
IF(Cuestionario!E57="B",20,
IF(Cuestionario!E57="C",20,
"")))</f>
        <v/>
      </c>
      <c r="E61" s="54"/>
    </row>
    <row r="62" ht="15.75" hidden="1" customHeight="1">
      <c r="A62" s="74">
        <v>4.0</v>
      </c>
      <c r="B62" s="75" t="s">
        <v>121</v>
      </c>
      <c r="C62" s="77">
        <v>20.0</v>
      </c>
      <c r="D62" s="42" t="str">
        <f>IF(Cuestionario!E58="No aplica",C62,
IF(E62=0,"Pendiente calificar",E62))</f>
        <v>Pendiente calificar</v>
      </c>
      <c r="E62" s="79"/>
    </row>
    <row r="63" ht="15.75" hidden="1" customHeight="1">
      <c r="A63" s="74">
        <v>5.0</v>
      </c>
      <c r="B63" s="75" t="s">
        <v>122</v>
      </c>
      <c r="C63" s="77">
        <v>20.0</v>
      </c>
      <c r="D63" s="42" t="str">
        <f>IF(Cuestionario!E59="No aplica",C63,
IF(E63=0,"Pendiente calificar",E63))</f>
        <v>Pendiente calificar</v>
      </c>
      <c r="E63" s="79"/>
    </row>
    <row r="64" ht="15.75" hidden="1" customHeight="1">
      <c r="A64" s="74">
        <v>6.0</v>
      </c>
      <c r="B64" s="75" t="s">
        <v>123</v>
      </c>
      <c r="C64" s="77">
        <v>10.0</v>
      </c>
      <c r="D64" s="42" t="str">
        <f>IF(Cuestionario!E60="A",0,
IF(Cuestionario!E60="B",4,
IF(Cuestionario!E60="C",8,
IF(Cuestionario!E60="D",10,
""))))</f>
        <v/>
      </c>
      <c r="E64" s="54"/>
    </row>
    <row r="65" ht="14.25" customHeight="1">
      <c r="A65" s="71" t="s">
        <v>125</v>
      </c>
      <c r="B65" s="32"/>
      <c r="C65" s="82"/>
      <c r="D65" s="85">
        <f>+SUM(D66:D72)</f>
        <v>81</v>
      </c>
      <c r="E65" s="54"/>
    </row>
    <row r="66" ht="15.75" customHeight="1">
      <c r="A66" s="74">
        <v>1.0</v>
      </c>
      <c r="B66" s="75" t="s">
        <v>126</v>
      </c>
      <c r="C66" s="77">
        <v>20.0</v>
      </c>
      <c r="D66" s="42">
        <f>IF(Cuestionario!E62="A",20,
IF(Cuestionario!E62="B",0,
""))</f>
        <v>20</v>
      </c>
      <c r="E66" s="54"/>
    </row>
    <row r="67" ht="15.75" customHeight="1">
      <c r="A67" s="74">
        <v>2.0</v>
      </c>
      <c r="B67" s="75" t="s">
        <v>129</v>
      </c>
      <c r="C67" s="77">
        <v>10.0</v>
      </c>
      <c r="D67" s="42">
        <f>IF(Cuestionario!E63="A",0,
IF(Cuestionario!E63="B",3,
IF(Cuestionario!E63="C",6,
IF(Cuestionario!E63="D",10,
""))))</f>
        <v>6</v>
      </c>
      <c r="E67" s="54"/>
    </row>
    <row r="68" ht="15.75" customHeight="1">
      <c r="A68" s="74">
        <v>3.0</v>
      </c>
      <c r="B68" s="75" t="s">
        <v>132</v>
      </c>
      <c r="C68" s="77">
        <v>10.0</v>
      </c>
      <c r="D68" s="42">
        <f>IF(Cuestionario!E64="A",0,
IF(Cuestionario!E64="B",3,
IF(Cuestionario!E64="C",6,
IF(Cuestionario!E64="D",10,
""))))</f>
        <v>10</v>
      </c>
      <c r="E68" s="54"/>
    </row>
    <row r="69" ht="15.75" customHeight="1">
      <c r="A69" s="74">
        <v>4.0</v>
      </c>
      <c r="B69" s="75" t="s">
        <v>135</v>
      </c>
      <c r="C69" s="77">
        <v>20.0</v>
      </c>
      <c r="D69" s="42">
        <f>IF(Cuestionario!E65="A",20,
IF(Cuestionario!E65="B",0,
""))</f>
        <v>20</v>
      </c>
      <c r="E69" s="54"/>
    </row>
    <row r="70" ht="15.75" customHeight="1">
      <c r="A70" s="74">
        <v>5.0</v>
      </c>
      <c r="B70" s="75" t="s">
        <v>138</v>
      </c>
      <c r="C70" s="77">
        <v>10.0</v>
      </c>
      <c r="D70" s="42">
        <f>IF(Cuestionario!E66="A",0,
IF(Cuestionario!E66="B",3,
IF(Cuestionario!E66="C",6,
IF(Cuestionario!E66="D",10,
""))))</f>
        <v>10</v>
      </c>
      <c r="E70" s="54"/>
    </row>
    <row r="71" ht="15.75" customHeight="1">
      <c r="A71" s="74">
        <v>6.0</v>
      </c>
      <c r="B71" s="75" t="s">
        <v>141</v>
      </c>
      <c r="C71" s="77">
        <v>10.0</v>
      </c>
      <c r="D71" s="42">
        <f>IF(Cuestionario!E67="A",0,
IF(Cuestionario!E67="B",3,
IF(Cuestionario!E67="C",6,
IF(Cuestionario!E67="D",10,
""))))</f>
        <v>3</v>
      </c>
      <c r="E71" s="54"/>
    </row>
    <row r="72" ht="15.75" customHeight="1">
      <c r="A72" s="74">
        <v>7.0</v>
      </c>
      <c r="B72" s="75" t="s">
        <v>144</v>
      </c>
      <c r="C72" s="77">
        <v>20.0</v>
      </c>
      <c r="D72" s="42">
        <f>IF(Cuestionario!E68="A",0,
IF(Cuestionario!E68="B",6,
IF(Cuestionario!E68="C",12,
IF(Cuestionario!E68="D",20,
""))))</f>
        <v>12</v>
      </c>
      <c r="E72" s="54"/>
    </row>
    <row r="73" ht="14.25" customHeight="1">
      <c r="A73" s="71" t="s">
        <v>147</v>
      </c>
      <c r="B73" s="32"/>
      <c r="C73" s="82"/>
      <c r="D73" s="85">
        <f>+SUM(D74:D82)</f>
        <v>58</v>
      </c>
      <c r="E73" s="54"/>
    </row>
    <row r="74" ht="15.75" customHeight="1">
      <c r="A74" s="74">
        <v>1.0</v>
      </c>
      <c r="B74" s="75" t="s">
        <v>117</v>
      </c>
      <c r="C74" s="77">
        <v>10.0</v>
      </c>
      <c r="D74" s="42">
        <f>IF(Cuestionario!E70="A",0,
IF(Cuestionario!E70="B",3,
IF(Cuestionario!E70="C",8,
IF(Cuestionario!E70="D",10,
""))))</f>
        <v>8</v>
      </c>
      <c r="E74" s="54"/>
    </row>
    <row r="75" ht="15.75" customHeight="1">
      <c r="A75" s="74">
        <v>2.0</v>
      </c>
      <c r="B75" s="75" t="s">
        <v>119</v>
      </c>
      <c r="C75" s="77">
        <v>5.0</v>
      </c>
      <c r="D75" s="42">
        <f>IF(Cuestionario!E71="A",0,
IF(Cuestionario!E71="B",3,
IF(Cuestionario!E71="C",5,
"")))</f>
        <v>3</v>
      </c>
      <c r="E75" s="54"/>
    </row>
    <row r="76" ht="15.75" customHeight="1">
      <c r="A76" s="74">
        <v>3.0</v>
      </c>
      <c r="B76" s="75" t="s">
        <v>152</v>
      </c>
      <c r="C76" s="77">
        <v>5.0</v>
      </c>
      <c r="D76" s="42" t="str">
        <f>IF(Cuestionario!E72="A",0,
IF(Cuestionario!E72="B",2,
IF(Cuestionario!E72="C",5,
IF(Cuestionario!E72="D",5,
""))))</f>
        <v/>
      </c>
      <c r="E76" s="54"/>
    </row>
    <row r="77" ht="15.75" customHeight="1">
      <c r="A77" s="74">
        <v>4.0</v>
      </c>
      <c r="B77" s="75" t="s">
        <v>155</v>
      </c>
      <c r="C77" s="77">
        <v>25.0</v>
      </c>
      <c r="D77" s="42">
        <f>IF(Cuestionario!E73="A",25,
IF(Cuestionario!E73="B",0,
IF(Cuestionario!E73="C",10,
IF(Cuestionario!E73="D",20,
IF(Cuestionario!E73="E",25,
"")))))</f>
        <v>25</v>
      </c>
      <c r="E77" s="54"/>
    </row>
    <row r="78" ht="15.75" customHeight="1">
      <c r="A78" s="74">
        <v>5.0</v>
      </c>
      <c r="B78" s="75" t="s">
        <v>157</v>
      </c>
      <c r="C78" s="77">
        <v>5.0</v>
      </c>
      <c r="D78" s="42" t="str">
        <f>IF(Cuestionario!E74="A",0,
IF(Cuestionario!E74="B",2,
IF(Cuestionario!E74="C",5,
IF(Cuestionario!E74="D",5,
""))))</f>
        <v/>
      </c>
      <c r="E78" s="54"/>
    </row>
    <row r="79" ht="15.75" customHeight="1">
      <c r="A79" s="74">
        <v>6.0</v>
      </c>
      <c r="B79" s="75" t="s">
        <v>160</v>
      </c>
      <c r="C79" s="77">
        <v>10.0</v>
      </c>
      <c r="D79" s="42">
        <f>IF(Cuestionario!E75="A",10,
IF(Cuestionario!E75="B",0,
IF(Cuestionario!E75="C",2,
IF(Cuestionario!E75="D",6,
IF(Cuestionario!E75="E",10,
"")))))</f>
        <v>2</v>
      </c>
      <c r="E79" s="54"/>
    </row>
    <row r="80" ht="15.75" customHeight="1">
      <c r="A80" s="74">
        <v>7.0</v>
      </c>
      <c r="B80" s="75" t="s">
        <v>163</v>
      </c>
      <c r="C80" s="77">
        <v>10.0</v>
      </c>
      <c r="D80" s="42">
        <f>IF(Cuestionario!E76="A",10,
IF(Cuestionario!E76="B",0,
IF(Cuestionario!E76="C",2,
IF(Cuestionario!E76="D",6,
IF(Cuestionario!E76="E",10,
"")))))</f>
        <v>10</v>
      </c>
      <c r="E80" s="54"/>
    </row>
    <row r="81" ht="15.75" customHeight="1">
      <c r="A81" s="74">
        <v>8.0</v>
      </c>
      <c r="B81" s="75" t="s">
        <v>167</v>
      </c>
      <c r="C81" s="77">
        <v>10.0</v>
      </c>
      <c r="D81" s="42">
        <f>IF(Cuestionario!E77="A",10,
IF(Cuestionario!E77="B",0,
IF(Cuestionario!E77="C",2,
IF(Cuestionario!E77="D",6,
IF(Cuestionario!E77="E",10,
"")))))</f>
        <v>10</v>
      </c>
      <c r="E81" s="54"/>
    </row>
    <row r="82" ht="15.75" customHeight="1">
      <c r="A82" s="74">
        <v>9.0</v>
      </c>
      <c r="B82" s="75" t="s">
        <v>170</v>
      </c>
      <c r="C82" s="77">
        <v>20.0</v>
      </c>
      <c r="D82" s="42" t="str">
        <f>IF(Cuestionario!E78="A",0,
IF(Cuestionario!E78="B",10,
IF(Cuestionario!E78="C",20,
"")))</f>
        <v/>
      </c>
      <c r="E82" s="54"/>
    </row>
    <row r="83" ht="14.25" hidden="1" customHeight="1">
      <c r="A83" s="71" t="s">
        <v>173</v>
      </c>
      <c r="B83" s="32"/>
      <c r="C83" s="82"/>
      <c r="D83" s="85">
        <f>+SUM(D84:D88)</f>
        <v>0</v>
      </c>
      <c r="E83" s="54"/>
    </row>
    <row r="84" ht="15.75" hidden="1" customHeight="1">
      <c r="A84" s="74">
        <v>1.0</v>
      </c>
      <c r="B84" s="75" t="s">
        <v>174</v>
      </c>
      <c r="C84" s="77">
        <v>25.0</v>
      </c>
      <c r="D84" s="42" t="str">
        <f>IF(Cuestionario!E80="No aplica",C84,
IF(E84=0,"Pendiente calificar",E84))</f>
        <v>Pendiente calificar</v>
      </c>
      <c r="E84" s="79"/>
    </row>
    <row r="85" ht="15.75" hidden="1" customHeight="1">
      <c r="A85" s="74">
        <v>2.0</v>
      </c>
      <c r="B85" s="75" t="s">
        <v>175</v>
      </c>
      <c r="C85" s="77">
        <v>20.0</v>
      </c>
      <c r="D85" s="42" t="str">
        <f>IF(Cuestionario!E81="A",0,
IF(Cuestionario!E81="B",5,
IF(Cuestionario!E81="C",10,
IF(Cuestionario!E81="D",20,
""))))</f>
        <v/>
      </c>
      <c r="E85" s="54"/>
    </row>
    <row r="86" ht="15.75" hidden="1" customHeight="1">
      <c r="A86" s="74">
        <v>3.0</v>
      </c>
      <c r="B86" s="75" t="s">
        <v>177</v>
      </c>
      <c r="C86" s="77">
        <v>20.0</v>
      </c>
      <c r="D86" s="42" t="str">
        <f>IF(Cuestionario!E82="A",0,
IF(Cuestionario!E82="B",5,
IF(Cuestionario!E82="C",10,
IF(Cuestionario!E82="D",20,
""))))</f>
        <v/>
      </c>
      <c r="E86" s="54"/>
    </row>
    <row r="87" ht="15.75" hidden="1" customHeight="1">
      <c r="A87" s="74">
        <v>4.0</v>
      </c>
      <c r="B87" s="75" t="s">
        <v>179</v>
      </c>
      <c r="C87" s="77">
        <v>15.0</v>
      </c>
      <c r="D87" s="42" t="str">
        <f>IF(Cuestionario!E83="No aplica",C87,
IF(E87=0,"Pendiente calificar",E87))</f>
        <v>Pendiente calificar</v>
      </c>
      <c r="E87" s="79"/>
    </row>
    <row r="88" ht="15.75" hidden="1" customHeight="1">
      <c r="A88" s="74">
        <v>5.0</v>
      </c>
      <c r="B88" s="75" t="s">
        <v>180</v>
      </c>
      <c r="C88" s="77">
        <v>20.0</v>
      </c>
      <c r="D88" s="42" t="str">
        <f>IF(Cuestionario!E84="No aplica",C88,
IF(E88=0,"Pendiente calificar",E88))</f>
        <v>Pendiente calificar</v>
      </c>
      <c r="E88" s="79"/>
    </row>
    <row r="89" ht="14.25" hidden="1" customHeight="1">
      <c r="A89" s="71" t="s">
        <v>255</v>
      </c>
      <c r="B89" s="32"/>
      <c r="C89" s="82"/>
      <c r="D89" s="85">
        <f>+SUM(D90:D92)</f>
        <v>0</v>
      </c>
      <c r="E89" s="54"/>
    </row>
    <row r="90" ht="15.75" hidden="1" customHeight="1">
      <c r="A90" s="74">
        <v>1.0</v>
      </c>
      <c r="B90" s="75" t="s">
        <v>182</v>
      </c>
      <c r="C90" s="77">
        <v>33.0</v>
      </c>
      <c r="D90" s="42" t="str">
        <f>IF(Cuestionario!E86="A",0,
IF(Cuestionario!E86="B",10,
IF(Cuestionario!E86="C",33,
"")))</f>
        <v/>
      </c>
      <c r="E90" s="54"/>
    </row>
    <row r="91" ht="15.75" hidden="1" customHeight="1">
      <c r="A91" s="74">
        <v>2.0</v>
      </c>
      <c r="B91" s="75" t="s">
        <v>184</v>
      </c>
      <c r="C91" s="77">
        <v>33.0</v>
      </c>
      <c r="D91" s="42" t="str">
        <f>IF(Cuestionario!E87="No aplica",C91,
IF(E91=0,"Pendiente calificar",E91))</f>
        <v>Pendiente calificar</v>
      </c>
      <c r="E91" s="79"/>
    </row>
    <row r="92" ht="15.75" hidden="1" customHeight="1">
      <c r="A92" s="74">
        <v>3.0</v>
      </c>
      <c r="B92" s="75" t="s">
        <v>185</v>
      </c>
      <c r="C92" s="77">
        <v>34.0</v>
      </c>
      <c r="D92" s="42" t="str">
        <f>IF(Cuestionario!E88="No aplica",C92,
IF(E92=0,"Pendiente calificar",E92))</f>
        <v>Pendiente calificar</v>
      </c>
      <c r="E92" s="79"/>
    </row>
    <row r="93" ht="14.25" hidden="1" customHeight="1">
      <c r="A93" s="71" t="s">
        <v>186</v>
      </c>
      <c r="B93" s="32"/>
      <c r="C93" s="82"/>
      <c r="D93" s="85">
        <f>+SUM(D94:D96)</f>
        <v>0</v>
      </c>
      <c r="E93" s="54"/>
    </row>
    <row r="94" ht="15.75" hidden="1" customHeight="1">
      <c r="A94" s="74">
        <v>1.0</v>
      </c>
      <c r="B94" s="75" t="s">
        <v>187</v>
      </c>
      <c r="C94" s="42">
        <v>40.0</v>
      </c>
      <c r="D94" s="42" t="str">
        <f>IF(Cuestionario!E90="A",0,
IF(Cuestionario!E90="B",25,
IF(Cuestionario!E90="C",40,
"")))</f>
        <v/>
      </c>
      <c r="E94" s="54"/>
    </row>
    <row r="95" ht="15.75" hidden="1" customHeight="1">
      <c r="A95" s="74">
        <v>2.0</v>
      </c>
      <c r="B95" s="75" t="s">
        <v>189</v>
      </c>
      <c r="C95" s="42">
        <v>30.0</v>
      </c>
      <c r="D95" s="42" t="str">
        <f>IF(Cuestionario!E91="A",0,
IF(Cuestionario!E91="B",10,
IF(Cuestionario!E91="C",20,
IF(Cuestionario!E91="D",30,
""))))</f>
        <v/>
      </c>
      <c r="E95" s="54"/>
    </row>
    <row r="96" ht="15.75" hidden="1" customHeight="1">
      <c r="A96" s="74">
        <v>3.0</v>
      </c>
      <c r="B96" s="75" t="s">
        <v>191</v>
      </c>
      <c r="C96" s="77">
        <v>30.0</v>
      </c>
      <c r="D96" s="42" t="str">
        <f>IF(Cuestionario!E92="No aplica",C96,
IF(E96=0,"Pendiente calificar",E96))</f>
        <v>Pendiente calificar</v>
      </c>
      <c r="E96" s="79"/>
    </row>
    <row r="97" ht="14.25" customHeight="1">
      <c r="A97" s="71" t="s">
        <v>192</v>
      </c>
      <c r="B97" s="32"/>
      <c r="C97" s="82"/>
      <c r="D97" s="85">
        <f>+SUM(D98:D103)</f>
        <v>30</v>
      </c>
      <c r="E97" s="54"/>
    </row>
    <row r="98" ht="15.75" customHeight="1">
      <c r="A98" s="74">
        <v>1.0</v>
      </c>
      <c r="B98" s="75" t="s">
        <v>193</v>
      </c>
      <c r="C98" s="77">
        <v>25.0</v>
      </c>
      <c r="D98" s="42" t="str">
        <f>IF(Cuestionario!E94="A",5,
IF(Cuestionario!E94="B",10,
IF(Cuestionario!E94="C",25,
"")))</f>
        <v/>
      </c>
      <c r="E98" s="54"/>
    </row>
    <row r="99" ht="15.75" customHeight="1">
      <c r="A99" s="74">
        <v>2.0</v>
      </c>
      <c r="B99" s="75" t="s">
        <v>196</v>
      </c>
      <c r="C99" s="77">
        <v>10.0</v>
      </c>
      <c r="D99" s="42">
        <f>IF(Cuestionario!E95="A",10,
IF(Cuestionario!E95="B",0,
""))</f>
        <v>10</v>
      </c>
      <c r="E99" s="54"/>
    </row>
    <row r="100" ht="15.75" customHeight="1">
      <c r="A100" s="74">
        <v>3.0</v>
      </c>
      <c r="B100" s="75" t="s">
        <v>199</v>
      </c>
      <c r="C100" s="77">
        <v>15.0</v>
      </c>
      <c r="D100" s="42" t="str">
        <f>IF(Cuestionario!E96="No aplica",C100,
IF(E100=0,"Pendiente calificar",E100))</f>
        <v>Pendiente calificar</v>
      </c>
      <c r="E100" s="79"/>
    </row>
    <row r="101" ht="15.75" customHeight="1">
      <c r="A101" s="74">
        <v>4.0</v>
      </c>
      <c r="B101" s="75" t="s">
        <v>201</v>
      </c>
      <c r="C101" s="77">
        <v>10.0</v>
      </c>
      <c r="D101" s="42">
        <f>IF(Cuestionario!E97="A",5,
IF(Cuestionario!E97="B",10,
""))</f>
        <v>5</v>
      </c>
      <c r="E101" s="54"/>
    </row>
    <row r="102" ht="15.75" customHeight="1">
      <c r="A102" s="74">
        <v>5.0</v>
      </c>
      <c r="B102" s="75" t="s">
        <v>203</v>
      </c>
      <c r="C102" s="77">
        <v>15.0</v>
      </c>
      <c r="D102" s="42">
        <f>IF(Cuestionario!E98="A",15,
IF(Cuestionario!E98="B",0,
""))</f>
        <v>0</v>
      </c>
      <c r="E102" s="54"/>
    </row>
    <row r="103" ht="15.75" customHeight="1">
      <c r="A103" s="74">
        <v>6.0</v>
      </c>
      <c r="B103" s="75" t="s">
        <v>205</v>
      </c>
      <c r="C103" s="77">
        <v>15.0</v>
      </c>
      <c r="D103" s="42">
        <f>IF(Cuestionario!E99="A",15,
IF(Cuestionario!E99="B",0,
""))</f>
        <v>15</v>
      </c>
      <c r="E103" s="54"/>
    </row>
    <row r="104" ht="15.75" customHeight="1">
      <c r="A104" s="86">
        <v>7.0</v>
      </c>
      <c r="B104" s="87" t="s">
        <v>208</v>
      </c>
      <c r="C104" s="77">
        <v>5.0</v>
      </c>
      <c r="D104" s="42">
        <f>IF(Cuestionario!E100="A",5,
IF(Cuestionario!E100="B",0,
""))</f>
        <v>0</v>
      </c>
      <c r="E104" s="54"/>
    </row>
    <row r="105" ht="15.75" customHeight="1">
      <c r="A105" s="86">
        <v>8.0</v>
      </c>
      <c r="B105" s="87" t="s">
        <v>210</v>
      </c>
      <c r="C105" s="77">
        <v>5.0</v>
      </c>
      <c r="D105" s="42">
        <f>IF(Cuestionario!E101="A",5,
IF(Cuestionario!E101="B",0,
""))</f>
        <v>0</v>
      </c>
      <c r="E105" s="54"/>
    </row>
    <row r="106" ht="14.25" hidden="1" customHeight="1">
      <c r="A106" s="71" t="s">
        <v>212</v>
      </c>
      <c r="B106" s="32"/>
      <c r="C106" s="82"/>
      <c r="D106" s="85">
        <f>+SUM(D107:D111)</f>
        <v>0</v>
      </c>
      <c r="E106" s="54"/>
    </row>
    <row r="107" ht="15.75" hidden="1" customHeight="1">
      <c r="A107" s="74">
        <v>1.0</v>
      </c>
      <c r="B107" s="75" t="s">
        <v>213</v>
      </c>
      <c r="C107" s="77">
        <v>25.0</v>
      </c>
      <c r="D107" s="42" t="str">
        <f>IF(Cuestionario!E103="A",0,
IF(Cuestionario!E103="B",5,
IF(Cuestionario!E103="C",10,
IF(Cuestionario!E103="D",25,
""))))</f>
        <v/>
      </c>
      <c r="E107" s="54"/>
    </row>
    <row r="108" ht="15.75" hidden="1" customHeight="1">
      <c r="A108" s="74">
        <v>2.0</v>
      </c>
      <c r="B108" s="75" t="s">
        <v>215</v>
      </c>
      <c r="C108" s="77">
        <v>15.0</v>
      </c>
      <c r="D108" s="42" t="str">
        <f>IF(Cuestionario!E104="A",15,
IF(Cuestionario!E104="B",5,
IF(Cuestionario!E104="C",15,
"")))</f>
        <v/>
      </c>
      <c r="E108" s="54"/>
    </row>
    <row r="109" ht="15.75" hidden="1" customHeight="1">
      <c r="A109" s="74">
        <v>3.0</v>
      </c>
      <c r="B109" s="75" t="s">
        <v>217</v>
      </c>
      <c r="C109" s="77">
        <v>15.0</v>
      </c>
      <c r="D109" s="42" t="str">
        <f>IF(Cuestionario!E105="A",0,
IF(Cuestionario!E105="B",5,
IF(Cuestionario!E105="C",10,
IF(Cuestionario!E105="D",15,
""))))</f>
        <v/>
      </c>
      <c r="E109" s="54"/>
    </row>
    <row r="110" ht="15.75" hidden="1" customHeight="1">
      <c r="A110" s="74">
        <v>4.0</v>
      </c>
      <c r="B110" s="75" t="s">
        <v>219</v>
      </c>
      <c r="C110" s="77">
        <v>15.0</v>
      </c>
      <c r="D110" s="42" t="str">
        <f>IF(Cuestionario!E106="A",0,
IF(Cuestionario!E106="B",15,
IF(Cuestionario!E106="C",15,
"")))</f>
        <v/>
      </c>
      <c r="E110" s="54"/>
    </row>
    <row r="111" ht="15.75" hidden="1" customHeight="1">
      <c r="A111" s="74">
        <v>5.0</v>
      </c>
      <c r="B111" s="75" t="s">
        <v>221</v>
      </c>
      <c r="C111" s="77">
        <v>30.0</v>
      </c>
      <c r="D111" s="42" t="str">
        <f>IF(Cuestionario!E107="A",10,
IF(Cuestionario!E107="B",30,
""))</f>
        <v/>
      </c>
      <c r="E111" s="54"/>
    </row>
    <row r="112" ht="14.25" customHeight="1">
      <c r="A112" s="71" t="s">
        <v>223</v>
      </c>
      <c r="B112" s="32"/>
      <c r="C112" s="82"/>
      <c r="D112" s="85">
        <f>+SUM(D113:D121)</f>
        <v>98</v>
      </c>
      <c r="E112" s="54"/>
    </row>
    <row r="113" ht="15.75" customHeight="1">
      <c r="A113" s="74">
        <v>1.0</v>
      </c>
      <c r="B113" s="75" t="s">
        <v>224</v>
      </c>
      <c r="C113" s="77">
        <v>15.0</v>
      </c>
      <c r="D113" s="42">
        <f>IF(Cuestionario!E109="A",15,
IF(Cuestionario!E109="B",0,
""))</f>
        <v>15</v>
      </c>
      <c r="E113" s="54"/>
    </row>
    <row r="114" ht="15.75" customHeight="1">
      <c r="A114" s="74">
        <v>2.0</v>
      </c>
      <c r="B114" s="75" t="s">
        <v>227</v>
      </c>
      <c r="C114" s="77">
        <v>10.0</v>
      </c>
      <c r="D114" s="42">
        <f>IF(Cuestionario!E110="A",10,
IF(Cuestionario!E110="B",0,
""))</f>
        <v>10</v>
      </c>
      <c r="E114" s="54"/>
    </row>
    <row r="115" ht="15.75" customHeight="1">
      <c r="A115" s="74">
        <v>3.0</v>
      </c>
      <c r="B115" s="75" t="s">
        <v>230</v>
      </c>
      <c r="C115" s="77">
        <v>10.0</v>
      </c>
      <c r="D115" s="42">
        <f>IF(Cuestionario!E111="A",10,
IF(Cuestionario!E111="B",0,
""))</f>
        <v>10</v>
      </c>
      <c r="E115" s="54"/>
    </row>
    <row r="116" ht="15.75" customHeight="1">
      <c r="A116" s="74">
        <v>4.0</v>
      </c>
      <c r="B116" s="75" t="s">
        <v>233</v>
      </c>
      <c r="C116" s="77">
        <v>10.0</v>
      </c>
      <c r="D116" s="42">
        <f>IF(Cuestionario!E112="A",10,
IF(Cuestionario!E112="B",0,
""))</f>
        <v>10</v>
      </c>
      <c r="E116" s="54"/>
    </row>
    <row r="117" ht="15.75" customHeight="1">
      <c r="A117" s="74">
        <v>5.0</v>
      </c>
      <c r="B117" s="75" t="s">
        <v>236</v>
      </c>
      <c r="C117" s="77">
        <v>10.0</v>
      </c>
      <c r="D117" s="42">
        <f>IF(Cuestionario!E113="A",10,
IF(Cuestionario!E113="B",0,
""))</f>
        <v>10</v>
      </c>
      <c r="E117" s="54"/>
    </row>
    <row r="118" ht="15.75" customHeight="1">
      <c r="A118" s="74">
        <v>6.0</v>
      </c>
      <c r="B118" s="75" t="s">
        <v>239</v>
      </c>
      <c r="C118" s="77">
        <v>20.0</v>
      </c>
      <c r="D118" s="42">
        <f>IF(Cuestionario!E114="A",0,
IF(Cuestionario!E114="B",20,
""))</f>
        <v>20</v>
      </c>
      <c r="E118" s="54"/>
    </row>
    <row r="119" ht="15.75" customHeight="1">
      <c r="A119" s="74">
        <v>7.0</v>
      </c>
      <c r="B119" s="75" t="s">
        <v>241</v>
      </c>
      <c r="C119" s="77">
        <v>15.0</v>
      </c>
      <c r="D119" s="42">
        <f>IF(Cuestionario!E115="A",0,
IF(Cuestionario!E115="B",5,
IF(Cuestionario!E115="C",10,
IF(Cuestionario!E115="D",15,
""))))</f>
        <v>15</v>
      </c>
      <c r="E119" s="54"/>
    </row>
    <row r="120" ht="15.75" customHeight="1">
      <c r="A120" s="74">
        <v>8.0</v>
      </c>
      <c r="B120" s="75" t="s">
        <v>217</v>
      </c>
      <c r="C120" s="77">
        <v>5.0</v>
      </c>
      <c r="D120" s="42">
        <f>IF(Cuestionario!E116="A",0,
IF(Cuestionario!E116="B",2,
IF(Cuestionario!E116="C",3,
IF(Cuestionario!E116="D",5,
""))))</f>
        <v>3</v>
      </c>
      <c r="E120" s="54"/>
    </row>
    <row r="121" ht="15.75" customHeight="1">
      <c r="A121" s="74">
        <v>9.0</v>
      </c>
      <c r="B121" s="75" t="s">
        <v>219</v>
      </c>
      <c r="C121" s="77">
        <v>5.0</v>
      </c>
      <c r="D121" s="42">
        <f>IF(Cuestionario!E117="A",0,
IF(Cuestionario!E117="B",5,
IF(Cuestionario!E117="C",5,
"")))</f>
        <v>5</v>
      </c>
      <c r="E121" s="54"/>
    </row>
    <row r="122" ht="15.75" customHeight="1">
      <c r="A122" s="88"/>
      <c r="B122" s="6"/>
      <c r="C122" s="6"/>
      <c r="D122" s="10"/>
      <c r="E122" s="54"/>
    </row>
    <row r="123" ht="15.75" customHeight="1">
      <c r="A123" s="88"/>
      <c r="B123" s="6"/>
      <c r="C123" s="6"/>
      <c r="D123" s="10"/>
      <c r="E123" s="54"/>
    </row>
    <row r="124" ht="15.75" customHeight="1">
      <c r="A124" s="88"/>
      <c r="B124" s="6"/>
      <c r="C124" s="6"/>
      <c r="D124" s="10"/>
      <c r="E124" s="54"/>
    </row>
    <row r="125" ht="15.75" customHeight="1">
      <c r="A125" s="88"/>
      <c r="B125" s="6"/>
      <c r="C125" s="6"/>
      <c r="D125" s="10"/>
      <c r="E125" s="54"/>
    </row>
    <row r="126" ht="15.75" customHeight="1">
      <c r="A126" s="88"/>
      <c r="B126" s="6"/>
      <c r="C126" s="6"/>
      <c r="D126" s="10"/>
      <c r="E126" s="54"/>
    </row>
    <row r="127" ht="15.75" customHeight="1">
      <c r="A127" s="88"/>
      <c r="B127" s="6"/>
      <c r="C127" s="6"/>
      <c r="D127" s="10"/>
      <c r="E127" s="54"/>
    </row>
    <row r="128" ht="15.75" customHeight="1">
      <c r="A128" s="88"/>
      <c r="B128" s="6"/>
      <c r="C128" s="6"/>
      <c r="D128" s="10"/>
      <c r="E128" s="54"/>
    </row>
    <row r="129" ht="15.75" customHeight="1">
      <c r="A129" s="88"/>
      <c r="B129" s="6"/>
      <c r="C129" s="6"/>
      <c r="D129" s="10"/>
      <c r="E129" s="54"/>
    </row>
    <row r="130" ht="15.75" customHeight="1">
      <c r="A130" s="88"/>
      <c r="B130" s="6"/>
      <c r="C130" s="6"/>
      <c r="D130" s="10"/>
      <c r="E130" s="54"/>
    </row>
    <row r="131" ht="15.75" customHeight="1">
      <c r="A131" s="88"/>
      <c r="B131" s="6"/>
      <c r="C131" s="6"/>
      <c r="D131" s="10"/>
      <c r="E131" s="54"/>
    </row>
    <row r="132" ht="15.75" customHeight="1">
      <c r="A132" s="88"/>
      <c r="B132" s="6"/>
      <c r="C132" s="6"/>
      <c r="D132" s="10"/>
      <c r="E132" s="54"/>
    </row>
    <row r="133" ht="15.75" customHeight="1">
      <c r="A133" s="88"/>
      <c r="B133" s="6"/>
      <c r="C133" s="6"/>
      <c r="D133" s="10"/>
      <c r="E133" s="54"/>
    </row>
    <row r="134" ht="15.75" customHeight="1">
      <c r="A134" s="88"/>
      <c r="B134" s="6"/>
      <c r="C134" s="6"/>
      <c r="D134" s="10"/>
      <c r="E134" s="54"/>
    </row>
    <row r="135" ht="15.75" customHeight="1">
      <c r="A135" s="88"/>
      <c r="B135" s="6"/>
      <c r="C135" s="6"/>
      <c r="D135" s="10"/>
      <c r="E135" s="54"/>
    </row>
    <row r="136" ht="15.75" customHeight="1">
      <c r="A136" s="88"/>
      <c r="B136" s="6"/>
      <c r="C136" s="6"/>
      <c r="D136" s="10"/>
      <c r="E136" s="54"/>
    </row>
    <row r="137" ht="15.75" customHeight="1">
      <c r="A137" s="88"/>
      <c r="B137" s="6"/>
      <c r="C137" s="6"/>
      <c r="D137" s="10"/>
      <c r="E137" s="54"/>
    </row>
    <row r="138" ht="15.75" customHeight="1">
      <c r="A138" s="88"/>
      <c r="B138" s="6"/>
      <c r="C138" s="6"/>
      <c r="D138" s="10"/>
      <c r="E138" s="54"/>
    </row>
    <row r="139" ht="15.75" customHeight="1">
      <c r="A139" s="88"/>
      <c r="B139" s="6"/>
      <c r="C139" s="6"/>
      <c r="D139" s="10"/>
      <c r="E139" s="54"/>
    </row>
    <row r="140" ht="15.75" customHeight="1">
      <c r="A140" s="88"/>
      <c r="B140" s="6"/>
      <c r="C140" s="6"/>
      <c r="D140" s="10"/>
      <c r="E140" s="54"/>
    </row>
    <row r="141" ht="15.75" customHeight="1">
      <c r="A141" s="88"/>
      <c r="B141" s="6"/>
      <c r="C141" s="6"/>
      <c r="D141" s="10"/>
      <c r="E141" s="54"/>
    </row>
    <row r="142" ht="15.75" customHeight="1">
      <c r="A142" s="88"/>
      <c r="B142" s="6"/>
      <c r="C142" s="6"/>
      <c r="D142" s="10"/>
      <c r="E142" s="54"/>
    </row>
    <row r="143" ht="15.75" customHeight="1">
      <c r="A143" s="88"/>
      <c r="B143" s="6"/>
      <c r="C143" s="6"/>
      <c r="D143" s="10"/>
      <c r="E143" s="54"/>
    </row>
    <row r="144" ht="15.75" customHeight="1">
      <c r="A144" s="88"/>
      <c r="B144" s="6"/>
      <c r="C144" s="6"/>
      <c r="D144" s="10"/>
      <c r="E144" s="54"/>
    </row>
    <row r="145" ht="15.75" customHeight="1">
      <c r="A145" s="88"/>
      <c r="B145" s="6"/>
      <c r="C145" s="6"/>
      <c r="D145" s="10"/>
      <c r="E145" s="54"/>
    </row>
    <row r="146" ht="15.75" customHeight="1">
      <c r="A146" s="88"/>
      <c r="B146" s="6"/>
      <c r="C146" s="6"/>
      <c r="D146" s="10"/>
      <c r="E146" s="54"/>
    </row>
    <row r="147" ht="15.75" customHeight="1">
      <c r="A147" s="88"/>
      <c r="B147" s="6"/>
      <c r="C147" s="6"/>
      <c r="D147" s="10"/>
      <c r="E147" s="54"/>
    </row>
    <row r="148" ht="15.75" customHeight="1">
      <c r="A148" s="88"/>
      <c r="B148" s="6"/>
      <c r="C148" s="6"/>
      <c r="D148" s="10"/>
      <c r="E148" s="54"/>
    </row>
    <row r="149" ht="15.75" customHeight="1">
      <c r="A149" s="88"/>
      <c r="B149" s="6"/>
      <c r="C149" s="6"/>
      <c r="D149" s="10"/>
      <c r="E149" s="54"/>
    </row>
    <row r="150" ht="15.75" customHeight="1">
      <c r="A150" s="88"/>
      <c r="B150" s="6"/>
      <c r="C150" s="6"/>
      <c r="D150" s="10"/>
      <c r="E150" s="54"/>
    </row>
    <row r="151" ht="15.75" customHeight="1">
      <c r="A151" s="88"/>
      <c r="B151" s="6"/>
      <c r="C151" s="6"/>
      <c r="D151" s="10"/>
      <c r="E151" s="54"/>
    </row>
    <row r="152" ht="15.75" customHeight="1">
      <c r="A152" s="88"/>
      <c r="B152" s="6"/>
      <c r="C152" s="6"/>
      <c r="D152" s="10"/>
      <c r="E152" s="54"/>
    </row>
    <row r="153" ht="15.75" customHeight="1">
      <c r="A153" s="88"/>
      <c r="B153" s="6"/>
      <c r="C153" s="6"/>
      <c r="D153" s="10"/>
      <c r="E153" s="54"/>
    </row>
    <row r="154" ht="15.75" customHeight="1">
      <c r="A154" s="88"/>
      <c r="B154" s="6"/>
      <c r="C154" s="6"/>
      <c r="D154" s="10"/>
      <c r="E154" s="54"/>
    </row>
    <row r="155" ht="15.75" customHeight="1">
      <c r="A155" s="88"/>
      <c r="B155" s="6"/>
      <c r="C155" s="6"/>
      <c r="D155" s="10"/>
      <c r="E155" s="54"/>
    </row>
    <row r="156" ht="15.75" customHeight="1">
      <c r="A156" s="88"/>
      <c r="B156" s="6"/>
      <c r="C156" s="6"/>
      <c r="D156" s="10"/>
      <c r="E156" s="54"/>
    </row>
    <row r="157" ht="15.75" customHeight="1">
      <c r="A157" s="88"/>
      <c r="B157" s="6"/>
      <c r="C157" s="6"/>
      <c r="D157" s="10"/>
      <c r="E157" s="54"/>
    </row>
    <row r="158" ht="15.75" customHeight="1">
      <c r="A158" s="88"/>
      <c r="B158" s="6"/>
      <c r="C158" s="6"/>
      <c r="D158" s="10"/>
      <c r="E158" s="54"/>
    </row>
    <row r="159" ht="15.75" customHeight="1">
      <c r="A159" s="88"/>
      <c r="B159" s="6"/>
      <c r="C159" s="6"/>
      <c r="D159" s="10"/>
      <c r="E159" s="54"/>
    </row>
    <row r="160" ht="15.75" customHeight="1">
      <c r="A160" s="88"/>
      <c r="B160" s="6"/>
      <c r="C160" s="6"/>
      <c r="D160" s="10"/>
      <c r="E160" s="54"/>
    </row>
    <row r="161" ht="15.75" customHeight="1">
      <c r="A161" s="88"/>
      <c r="B161" s="6"/>
      <c r="C161" s="6"/>
      <c r="D161" s="10"/>
      <c r="E161" s="54"/>
    </row>
    <row r="162" ht="15.75" customHeight="1">
      <c r="A162" s="88"/>
      <c r="B162" s="6"/>
      <c r="C162" s="6"/>
      <c r="D162" s="10"/>
      <c r="E162" s="54"/>
    </row>
    <row r="163" ht="15.75" customHeight="1">
      <c r="A163" s="88"/>
      <c r="B163" s="6"/>
      <c r="C163" s="6"/>
      <c r="D163" s="10"/>
      <c r="E163" s="54"/>
    </row>
    <row r="164" ht="15.75" customHeight="1">
      <c r="A164" s="88"/>
      <c r="B164" s="6"/>
      <c r="C164" s="6"/>
      <c r="D164" s="10"/>
      <c r="E164" s="54"/>
    </row>
    <row r="165" ht="15.75" customHeight="1">
      <c r="A165" s="88"/>
      <c r="B165" s="6"/>
      <c r="C165" s="6"/>
      <c r="D165" s="10"/>
      <c r="E165" s="54"/>
    </row>
    <row r="166" ht="15.75" customHeight="1">
      <c r="A166" s="88"/>
      <c r="B166" s="6"/>
      <c r="C166" s="6"/>
      <c r="D166" s="10"/>
      <c r="E166" s="54"/>
    </row>
    <row r="167" ht="15.75" customHeight="1">
      <c r="A167" s="88"/>
      <c r="B167" s="6"/>
      <c r="C167" s="6"/>
      <c r="D167" s="10"/>
      <c r="E167" s="54"/>
    </row>
    <row r="168" ht="15.75" customHeight="1">
      <c r="A168" s="88"/>
      <c r="B168" s="6"/>
      <c r="C168" s="6"/>
      <c r="D168" s="10"/>
      <c r="E168" s="54"/>
    </row>
    <row r="169" ht="15.75" customHeight="1">
      <c r="A169" s="88"/>
      <c r="B169" s="6"/>
      <c r="C169" s="6"/>
      <c r="D169" s="10"/>
      <c r="E169" s="54"/>
    </row>
    <row r="170" ht="15.75" customHeight="1">
      <c r="A170" s="88"/>
      <c r="B170" s="6"/>
      <c r="C170" s="6"/>
      <c r="D170" s="10"/>
      <c r="E170" s="54"/>
    </row>
    <row r="171" ht="15.75" customHeight="1">
      <c r="A171" s="88"/>
      <c r="B171" s="6"/>
      <c r="C171" s="6"/>
      <c r="D171" s="10"/>
      <c r="E171" s="54"/>
    </row>
    <row r="172" ht="15.75" customHeight="1">
      <c r="A172" s="88"/>
      <c r="B172" s="6"/>
      <c r="C172" s="6"/>
      <c r="D172" s="10"/>
      <c r="E172" s="54"/>
    </row>
    <row r="173" ht="15.75" customHeight="1">
      <c r="A173" s="88"/>
      <c r="B173" s="6"/>
      <c r="C173" s="6"/>
      <c r="D173" s="10"/>
      <c r="E173" s="54"/>
    </row>
    <row r="174" ht="15.75" customHeight="1">
      <c r="A174" s="88"/>
      <c r="B174" s="6"/>
      <c r="C174" s="6"/>
      <c r="D174" s="10"/>
      <c r="E174" s="54"/>
    </row>
    <row r="175" ht="15.75" customHeight="1">
      <c r="A175" s="88"/>
      <c r="B175" s="6"/>
      <c r="C175" s="6"/>
      <c r="D175" s="10"/>
      <c r="E175" s="54"/>
    </row>
    <row r="176" ht="15.75" customHeight="1">
      <c r="A176" s="88"/>
      <c r="B176" s="6"/>
      <c r="C176" s="6"/>
      <c r="D176" s="10"/>
      <c r="E176" s="54"/>
    </row>
    <row r="177" ht="15.75" customHeight="1">
      <c r="A177" s="88"/>
      <c r="B177" s="6"/>
      <c r="C177" s="6"/>
      <c r="D177" s="10"/>
      <c r="E177" s="54"/>
    </row>
    <row r="178" ht="15.75" customHeight="1">
      <c r="A178" s="88"/>
      <c r="B178" s="6"/>
      <c r="C178" s="6"/>
      <c r="D178" s="10"/>
      <c r="E178" s="54"/>
    </row>
    <row r="179" ht="15.75" customHeight="1">
      <c r="A179" s="88"/>
      <c r="B179" s="6"/>
      <c r="C179" s="6"/>
      <c r="D179" s="10"/>
      <c r="E179" s="54"/>
    </row>
    <row r="180" ht="15.75" customHeight="1">
      <c r="A180" s="88"/>
      <c r="B180" s="6"/>
      <c r="C180" s="6"/>
      <c r="D180" s="10"/>
      <c r="E180" s="54"/>
    </row>
    <row r="181" ht="15.75" customHeight="1">
      <c r="A181" s="88"/>
      <c r="B181" s="6"/>
      <c r="C181" s="6"/>
      <c r="D181" s="10"/>
      <c r="E181" s="54"/>
    </row>
    <row r="182" ht="15.75" customHeight="1">
      <c r="A182" s="88"/>
      <c r="B182" s="6"/>
      <c r="C182" s="6"/>
      <c r="D182" s="10"/>
      <c r="E182" s="54"/>
    </row>
    <row r="183" ht="15.75" customHeight="1">
      <c r="A183" s="88"/>
      <c r="B183" s="6"/>
      <c r="C183" s="6"/>
      <c r="D183" s="10"/>
      <c r="E183" s="54"/>
    </row>
    <row r="184" ht="15.75" customHeight="1">
      <c r="A184" s="88"/>
      <c r="B184" s="6"/>
      <c r="C184" s="6"/>
      <c r="D184" s="10"/>
      <c r="E184" s="54"/>
    </row>
    <row r="185" ht="15.75" customHeight="1">
      <c r="A185" s="88"/>
      <c r="B185" s="6"/>
      <c r="C185" s="6"/>
      <c r="D185" s="10"/>
      <c r="E185" s="54"/>
    </row>
    <row r="186" ht="15.75" customHeight="1">
      <c r="A186" s="88"/>
      <c r="B186" s="6"/>
      <c r="C186" s="6"/>
      <c r="D186" s="10"/>
      <c r="E186" s="54"/>
    </row>
    <row r="187" ht="15.75" customHeight="1">
      <c r="A187" s="88"/>
      <c r="B187" s="6"/>
      <c r="C187" s="6"/>
      <c r="D187" s="10"/>
      <c r="E187" s="54"/>
    </row>
    <row r="188" ht="15.75" customHeight="1">
      <c r="A188" s="88"/>
      <c r="B188" s="6"/>
      <c r="C188" s="6"/>
      <c r="D188" s="10"/>
      <c r="E188" s="54"/>
    </row>
    <row r="189" ht="15.75" customHeight="1">
      <c r="A189" s="88"/>
      <c r="B189" s="6"/>
      <c r="C189" s="6"/>
      <c r="D189" s="10"/>
      <c r="E189" s="54"/>
    </row>
    <row r="190" ht="15.75" customHeight="1">
      <c r="A190" s="88"/>
      <c r="B190" s="6"/>
      <c r="C190" s="6"/>
      <c r="D190" s="10"/>
      <c r="E190" s="54"/>
    </row>
    <row r="191" ht="15.75" customHeight="1">
      <c r="A191" s="88"/>
      <c r="B191" s="6"/>
      <c r="C191" s="6"/>
      <c r="D191" s="10"/>
      <c r="E191" s="54"/>
    </row>
    <row r="192" ht="15.75" customHeight="1">
      <c r="A192" s="88"/>
      <c r="B192" s="6"/>
      <c r="C192" s="6"/>
      <c r="D192" s="10"/>
      <c r="E192" s="54"/>
    </row>
    <row r="193" ht="15.75" customHeight="1">
      <c r="A193" s="88"/>
      <c r="B193" s="6"/>
      <c r="C193" s="6"/>
      <c r="D193" s="10"/>
      <c r="E193" s="54"/>
    </row>
    <row r="194" ht="15.75" customHeight="1">
      <c r="A194" s="88"/>
      <c r="B194" s="6"/>
      <c r="C194" s="6"/>
      <c r="D194" s="10"/>
      <c r="E194" s="54"/>
    </row>
    <row r="195" ht="15.75" customHeight="1">
      <c r="A195" s="88"/>
      <c r="B195" s="6"/>
      <c r="C195" s="6"/>
      <c r="D195" s="10"/>
      <c r="E195" s="54"/>
    </row>
    <row r="196" ht="15.75" customHeight="1">
      <c r="A196" s="88"/>
      <c r="B196" s="6"/>
      <c r="C196" s="6"/>
      <c r="D196" s="10"/>
      <c r="E196" s="54"/>
    </row>
    <row r="197" ht="15.75" customHeight="1">
      <c r="A197" s="88"/>
      <c r="B197" s="6"/>
      <c r="C197" s="6"/>
      <c r="D197" s="10"/>
      <c r="E197" s="54"/>
    </row>
    <row r="198" ht="15.75" customHeight="1">
      <c r="A198" s="88"/>
      <c r="B198" s="6"/>
      <c r="C198" s="6"/>
      <c r="D198" s="10"/>
      <c r="E198" s="54"/>
    </row>
    <row r="199" ht="15.75" customHeight="1">
      <c r="A199" s="88"/>
      <c r="B199" s="6"/>
      <c r="C199" s="6"/>
      <c r="D199" s="10"/>
      <c r="E199" s="54"/>
    </row>
    <row r="200" ht="15.75" customHeight="1">
      <c r="A200" s="88"/>
      <c r="B200" s="6"/>
      <c r="C200" s="6"/>
      <c r="D200" s="10"/>
      <c r="E200" s="54"/>
    </row>
    <row r="201" ht="15.75" customHeight="1">
      <c r="A201" s="88"/>
      <c r="B201" s="6"/>
      <c r="C201" s="6"/>
      <c r="D201" s="10"/>
      <c r="E201" s="54"/>
    </row>
    <row r="202" ht="15.75" customHeight="1">
      <c r="A202" s="88"/>
      <c r="B202" s="6"/>
      <c r="C202" s="6"/>
      <c r="D202" s="10"/>
      <c r="E202" s="54"/>
    </row>
    <row r="203" ht="15.75" customHeight="1">
      <c r="A203" s="88"/>
      <c r="B203" s="6"/>
      <c r="C203" s="6"/>
      <c r="D203" s="10"/>
      <c r="E203" s="54"/>
    </row>
    <row r="204" ht="15.75" customHeight="1">
      <c r="A204" s="88"/>
      <c r="B204" s="6"/>
      <c r="C204" s="6"/>
      <c r="D204" s="10"/>
      <c r="E204" s="54"/>
    </row>
    <row r="205" ht="15.75" customHeight="1">
      <c r="A205" s="88"/>
      <c r="B205" s="6"/>
      <c r="C205" s="6"/>
      <c r="D205" s="10"/>
      <c r="E205" s="54"/>
    </row>
    <row r="206" ht="15.75" customHeight="1">
      <c r="A206" s="88"/>
      <c r="B206" s="6"/>
      <c r="C206" s="6"/>
      <c r="D206" s="10"/>
      <c r="E206" s="54"/>
    </row>
    <row r="207" ht="15.75" customHeight="1">
      <c r="A207" s="88"/>
      <c r="B207" s="6"/>
      <c r="C207" s="6"/>
      <c r="D207" s="10"/>
      <c r="E207" s="54"/>
    </row>
    <row r="208" ht="15.75" customHeight="1">
      <c r="A208" s="88"/>
      <c r="B208" s="6"/>
      <c r="C208" s="6"/>
      <c r="D208" s="10"/>
      <c r="E208" s="54"/>
    </row>
    <row r="209" ht="15.75" customHeight="1">
      <c r="A209" s="88"/>
      <c r="B209" s="6"/>
      <c r="C209" s="6"/>
      <c r="D209" s="10"/>
      <c r="E209" s="54"/>
    </row>
    <row r="210" ht="15.75" customHeight="1">
      <c r="A210" s="88"/>
      <c r="B210" s="6"/>
      <c r="C210" s="6"/>
      <c r="D210" s="10"/>
      <c r="E210" s="54"/>
    </row>
    <row r="211" ht="15.75" customHeight="1">
      <c r="A211" s="88"/>
      <c r="B211" s="6"/>
      <c r="C211" s="6"/>
      <c r="D211" s="10"/>
      <c r="E211" s="54"/>
    </row>
    <row r="212" ht="15.75" customHeight="1">
      <c r="A212" s="88"/>
      <c r="B212" s="6"/>
      <c r="C212" s="6"/>
      <c r="D212" s="10"/>
      <c r="E212" s="54"/>
    </row>
    <row r="213" ht="15.75" customHeight="1">
      <c r="A213" s="88"/>
      <c r="B213" s="6"/>
      <c r="C213" s="6"/>
      <c r="D213" s="10"/>
      <c r="E213" s="54"/>
    </row>
    <row r="214" ht="15.75" customHeight="1">
      <c r="A214" s="88"/>
      <c r="B214" s="6"/>
      <c r="C214" s="6"/>
      <c r="D214" s="10"/>
      <c r="E214" s="54"/>
    </row>
    <row r="215" ht="15.75" customHeight="1">
      <c r="A215" s="88"/>
      <c r="B215" s="6"/>
      <c r="C215" s="6"/>
      <c r="D215" s="10"/>
      <c r="E215" s="54"/>
    </row>
    <row r="216" ht="15.75" customHeight="1">
      <c r="A216" s="88"/>
      <c r="B216" s="6"/>
      <c r="C216" s="6"/>
      <c r="D216" s="10"/>
      <c r="E216" s="54"/>
    </row>
    <row r="217" ht="15.75" customHeight="1">
      <c r="A217" s="88"/>
      <c r="B217" s="6"/>
      <c r="C217" s="6"/>
      <c r="D217" s="10"/>
      <c r="E217" s="54"/>
    </row>
    <row r="218" ht="15.75" customHeight="1">
      <c r="A218" s="88"/>
      <c r="B218" s="6"/>
      <c r="C218" s="6"/>
      <c r="D218" s="10"/>
      <c r="E218" s="54"/>
    </row>
    <row r="219" ht="15.75" customHeight="1">
      <c r="A219" s="88"/>
      <c r="B219" s="6"/>
      <c r="C219" s="6"/>
      <c r="D219" s="10"/>
      <c r="E219" s="54"/>
    </row>
    <row r="220" ht="15.75" customHeight="1">
      <c r="A220" s="88"/>
      <c r="B220" s="6"/>
      <c r="C220" s="6"/>
      <c r="D220" s="10"/>
      <c r="E220" s="54"/>
    </row>
    <row r="221" ht="15.75" customHeight="1">
      <c r="A221" s="88"/>
      <c r="B221" s="6"/>
      <c r="C221" s="6"/>
      <c r="D221" s="10"/>
      <c r="E221" s="54"/>
    </row>
    <row r="222" ht="15.75" customHeight="1">
      <c r="A222" s="88"/>
      <c r="B222" s="6"/>
      <c r="C222" s="6"/>
      <c r="D222" s="10"/>
      <c r="E222" s="54"/>
    </row>
    <row r="223" ht="15.75" customHeight="1">
      <c r="A223" s="88"/>
      <c r="B223" s="6"/>
      <c r="C223" s="6"/>
      <c r="D223" s="10"/>
      <c r="E223" s="54"/>
    </row>
    <row r="224" ht="15.75" customHeight="1">
      <c r="A224" s="88"/>
      <c r="B224" s="6"/>
      <c r="C224" s="6"/>
      <c r="D224" s="10"/>
      <c r="E224" s="54"/>
    </row>
    <row r="225" ht="15.75" customHeight="1">
      <c r="A225" s="88"/>
      <c r="B225" s="6"/>
      <c r="C225" s="6"/>
      <c r="D225" s="10"/>
      <c r="E225" s="54"/>
    </row>
    <row r="226" ht="15.75" customHeight="1">
      <c r="A226" s="88"/>
      <c r="B226" s="6"/>
      <c r="C226" s="6"/>
      <c r="D226" s="10"/>
      <c r="E226" s="54"/>
    </row>
    <row r="227" ht="15.75" customHeight="1">
      <c r="A227" s="88"/>
      <c r="B227" s="6"/>
      <c r="C227" s="6"/>
      <c r="D227" s="10"/>
      <c r="E227" s="54"/>
    </row>
    <row r="228" ht="15.75" customHeight="1">
      <c r="A228" s="88"/>
      <c r="B228" s="6"/>
      <c r="C228" s="6"/>
      <c r="D228" s="10"/>
      <c r="E228" s="54"/>
    </row>
    <row r="229" ht="15.75" customHeight="1">
      <c r="A229" s="88"/>
      <c r="B229" s="6"/>
      <c r="C229" s="6"/>
      <c r="D229" s="10"/>
      <c r="E229" s="54"/>
    </row>
    <row r="230" ht="15.75" customHeight="1">
      <c r="A230" s="88"/>
      <c r="B230" s="6"/>
      <c r="C230" s="6"/>
      <c r="D230" s="10"/>
      <c r="E230" s="54"/>
    </row>
    <row r="231" ht="15.75" customHeight="1">
      <c r="A231" s="88"/>
      <c r="B231" s="6"/>
      <c r="C231" s="6"/>
      <c r="D231" s="10"/>
      <c r="E231" s="54"/>
    </row>
    <row r="232" ht="15.75" customHeight="1">
      <c r="A232" s="88"/>
      <c r="B232" s="6"/>
      <c r="C232" s="6"/>
      <c r="D232" s="10"/>
      <c r="E232" s="54"/>
    </row>
    <row r="233" ht="15.75" customHeight="1">
      <c r="A233" s="88"/>
      <c r="B233" s="6"/>
      <c r="C233" s="6"/>
      <c r="D233" s="10"/>
      <c r="E233" s="54"/>
    </row>
    <row r="234" ht="15.75" customHeight="1">
      <c r="A234" s="88"/>
      <c r="B234" s="6"/>
      <c r="C234" s="6"/>
      <c r="D234" s="10"/>
      <c r="E234" s="54"/>
    </row>
    <row r="235" ht="15.75" customHeight="1">
      <c r="A235" s="88"/>
      <c r="B235" s="6"/>
      <c r="C235" s="6"/>
      <c r="D235" s="10"/>
      <c r="E235" s="54"/>
    </row>
    <row r="236" ht="15.75" customHeight="1">
      <c r="A236" s="88"/>
      <c r="B236" s="6"/>
      <c r="C236" s="6"/>
      <c r="D236" s="10"/>
      <c r="E236" s="54"/>
    </row>
    <row r="237" ht="15.75" customHeight="1">
      <c r="A237" s="88"/>
      <c r="B237" s="6"/>
      <c r="C237" s="6"/>
      <c r="D237" s="10"/>
      <c r="E237" s="54"/>
    </row>
    <row r="238" ht="15.75" customHeight="1">
      <c r="A238" s="88"/>
      <c r="B238" s="6"/>
      <c r="C238" s="6"/>
      <c r="D238" s="10"/>
      <c r="E238" s="54"/>
    </row>
    <row r="239" ht="15.75" customHeight="1">
      <c r="A239" s="88"/>
      <c r="B239" s="6"/>
      <c r="C239" s="6"/>
      <c r="D239" s="10"/>
      <c r="E239" s="54"/>
    </row>
    <row r="240" ht="15.75" customHeight="1">
      <c r="A240" s="88"/>
      <c r="B240" s="6"/>
      <c r="C240" s="6"/>
      <c r="D240" s="10"/>
      <c r="E240" s="54"/>
    </row>
    <row r="241" ht="15.75" customHeight="1">
      <c r="A241" s="88"/>
      <c r="B241" s="6"/>
      <c r="C241" s="6"/>
      <c r="D241" s="10"/>
      <c r="E241" s="54"/>
    </row>
    <row r="242" ht="15.75" customHeight="1">
      <c r="A242" s="88"/>
      <c r="B242" s="6"/>
      <c r="C242" s="6"/>
      <c r="D242" s="10"/>
      <c r="E242" s="54"/>
    </row>
    <row r="243" ht="15.75" customHeight="1">
      <c r="A243" s="88"/>
      <c r="B243" s="6"/>
      <c r="C243" s="6"/>
      <c r="D243" s="10"/>
      <c r="E243" s="54"/>
    </row>
    <row r="244" ht="15.75" customHeight="1">
      <c r="A244" s="88"/>
      <c r="B244" s="6"/>
      <c r="C244" s="6"/>
      <c r="D244" s="10"/>
      <c r="E244" s="54"/>
    </row>
    <row r="245" ht="15.75" customHeight="1">
      <c r="A245" s="88"/>
      <c r="B245" s="6"/>
      <c r="C245" s="6"/>
      <c r="D245" s="10"/>
      <c r="E245" s="54"/>
    </row>
    <row r="246" ht="15.75" customHeight="1">
      <c r="A246" s="88"/>
      <c r="B246" s="6"/>
      <c r="C246" s="6"/>
      <c r="D246" s="10"/>
      <c r="E246" s="54"/>
    </row>
    <row r="247" ht="15.75" customHeight="1">
      <c r="A247" s="88"/>
      <c r="B247" s="6"/>
      <c r="C247" s="6"/>
      <c r="D247" s="10"/>
      <c r="E247" s="54"/>
    </row>
    <row r="248" ht="15.75" customHeight="1">
      <c r="A248" s="88"/>
      <c r="B248" s="6"/>
      <c r="C248" s="6"/>
      <c r="D248" s="10"/>
      <c r="E248" s="54"/>
    </row>
    <row r="249" ht="15.75" customHeight="1">
      <c r="A249" s="88"/>
      <c r="B249" s="6"/>
      <c r="C249" s="6"/>
      <c r="D249" s="10"/>
      <c r="E249" s="54"/>
    </row>
    <row r="250" ht="15.75" customHeight="1">
      <c r="A250" s="88"/>
      <c r="B250" s="6"/>
      <c r="C250" s="6"/>
      <c r="D250" s="10"/>
      <c r="E250" s="54"/>
    </row>
    <row r="251" ht="15.75" customHeight="1">
      <c r="A251" s="88"/>
      <c r="B251" s="6"/>
      <c r="C251" s="6"/>
      <c r="D251" s="10"/>
      <c r="E251" s="54"/>
    </row>
    <row r="252" ht="15.75" customHeight="1">
      <c r="A252" s="88"/>
      <c r="B252" s="6"/>
      <c r="C252" s="6"/>
      <c r="D252" s="10"/>
      <c r="E252" s="54"/>
    </row>
    <row r="253" ht="15.75" customHeight="1">
      <c r="A253" s="88"/>
      <c r="B253" s="6"/>
      <c r="C253" s="6"/>
      <c r="D253" s="10"/>
      <c r="E253" s="54"/>
    </row>
    <row r="254" ht="15.75" customHeight="1">
      <c r="A254" s="88"/>
      <c r="B254" s="6"/>
      <c r="C254" s="6"/>
      <c r="D254" s="10"/>
      <c r="E254" s="54"/>
    </row>
    <row r="255" ht="15.75" customHeight="1">
      <c r="A255" s="88"/>
      <c r="B255" s="6"/>
      <c r="C255" s="6"/>
      <c r="D255" s="10"/>
      <c r="E255" s="54"/>
    </row>
    <row r="256" ht="15.75" customHeight="1">
      <c r="A256" s="88"/>
      <c r="B256" s="6"/>
      <c r="C256" s="6"/>
      <c r="D256" s="10"/>
      <c r="E256" s="54"/>
    </row>
    <row r="257" ht="15.75" customHeight="1">
      <c r="A257" s="88"/>
      <c r="B257" s="6"/>
      <c r="C257" s="6"/>
      <c r="D257" s="10"/>
      <c r="E257" s="54"/>
    </row>
    <row r="258" ht="15.75" customHeight="1">
      <c r="A258" s="88"/>
      <c r="B258" s="6"/>
      <c r="C258" s="6"/>
      <c r="D258" s="10"/>
      <c r="E258" s="54"/>
    </row>
    <row r="259" ht="15.75" customHeight="1">
      <c r="A259" s="88"/>
      <c r="B259" s="6"/>
      <c r="C259" s="6"/>
      <c r="D259" s="10"/>
      <c r="E259" s="54"/>
    </row>
    <row r="260" ht="15.75" customHeight="1">
      <c r="A260" s="88"/>
      <c r="B260" s="6"/>
      <c r="C260" s="6"/>
      <c r="D260" s="10"/>
      <c r="E260" s="54"/>
    </row>
    <row r="261" ht="15.75" customHeight="1">
      <c r="A261" s="88"/>
      <c r="B261" s="6"/>
      <c r="C261" s="6"/>
      <c r="D261" s="10"/>
      <c r="E261" s="54"/>
    </row>
    <row r="262" ht="15.75" customHeight="1">
      <c r="A262" s="88"/>
      <c r="B262" s="6"/>
      <c r="C262" s="6"/>
      <c r="D262" s="10"/>
      <c r="E262" s="54"/>
    </row>
    <row r="263" ht="15.75" customHeight="1">
      <c r="A263" s="88"/>
      <c r="B263" s="6"/>
      <c r="C263" s="6"/>
      <c r="D263" s="10"/>
      <c r="E263" s="54"/>
    </row>
    <row r="264" ht="15.75" customHeight="1">
      <c r="A264" s="88"/>
      <c r="B264" s="6"/>
      <c r="C264" s="6"/>
      <c r="D264" s="10"/>
      <c r="E264" s="54"/>
    </row>
    <row r="265" ht="15.75" customHeight="1">
      <c r="A265" s="88"/>
      <c r="B265" s="6"/>
      <c r="C265" s="6"/>
      <c r="D265" s="10"/>
      <c r="E265" s="54"/>
    </row>
    <row r="266" ht="15.75" customHeight="1">
      <c r="A266" s="88"/>
      <c r="B266" s="6"/>
      <c r="C266" s="6"/>
      <c r="D266" s="10"/>
      <c r="E266" s="54"/>
    </row>
    <row r="267" ht="15.75" customHeight="1">
      <c r="A267" s="88"/>
      <c r="B267" s="6"/>
      <c r="C267" s="6"/>
      <c r="D267" s="10"/>
      <c r="E267" s="54"/>
    </row>
    <row r="268" ht="15.75" customHeight="1">
      <c r="A268" s="88"/>
      <c r="B268" s="6"/>
      <c r="C268" s="6"/>
      <c r="D268" s="10"/>
      <c r="E268" s="54"/>
    </row>
    <row r="269" ht="15.75" customHeight="1">
      <c r="A269" s="88"/>
      <c r="B269" s="6"/>
      <c r="C269" s="6"/>
      <c r="D269" s="10"/>
      <c r="E269" s="54"/>
    </row>
    <row r="270" ht="15.75" customHeight="1">
      <c r="A270" s="88"/>
      <c r="B270" s="6"/>
      <c r="C270" s="6"/>
      <c r="D270" s="10"/>
      <c r="E270" s="54"/>
    </row>
    <row r="271" ht="15.75" customHeight="1">
      <c r="A271" s="88"/>
      <c r="B271" s="6"/>
      <c r="C271" s="6"/>
      <c r="D271" s="10"/>
      <c r="E271" s="54"/>
    </row>
    <row r="272" ht="15.75" customHeight="1">
      <c r="A272" s="88"/>
      <c r="B272" s="6"/>
      <c r="C272" s="6"/>
      <c r="D272" s="10"/>
      <c r="E272" s="54"/>
    </row>
    <row r="273" ht="15.75" customHeight="1">
      <c r="A273" s="88"/>
      <c r="B273" s="6"/>
      <c r="C273" s="6"/>
      <c r="D273" s="10"/>
      <c r="E273" s="54"/>
    </row>
    <row r="274" ht="15.75" customHeight="1">
      <c r="A274" s="88"/>
      <c r="B274" s="6"/>
      <c r="C274" s="6"/>
      <c r="D274" s="10"/>
      <c r="E274" s="54"/>
    </row>
    <row r="275" ht="15.75" customHeight="1">
      <c r="A275" s="88"/>
      <c r="B275" s="6"/>
      <c r="C275" s="6"/>
      <c r="D275" s="10"/>
      <c r="E275" s="54"/>
    </row>
    <row r="276" ht="15.75" customHeight="1">
      <c r="A276" s="88"/>
      <c r="B276" s="6"/>
      <c r="C276" s="6"/>
      <c r="D276" s="10"/>
      <c r="E276" s="54"/>
    </row>
    <row r="277" ht="15.75" customHeight="1">
      <c r="A277" s="88"/>
      <c r="B277" s="6"/>
      <c r="C277" s="6"/>
      <c r="D277" s="10"/>
      <c r="E277" s="54"/>
    </row>
    <row r="278" ht="15.75" customHeight="1">
      <c r="A278" s="88"/>
      <c r="B278" s="6"/>
      <c r="C278" s="6"/>
      <c r="D278" s="10"/>
      <c r="E278" s="54"/>
    </row>
    <row r="279" ht="15.75" customHeight="1">
      <c r="A279" s="88"/>
      <c r="B279" s="6"/>
      <c r="C279" s="6"/>
      <c r="D279" s="10"/>
      <c r="E279" s="54"/>
    </row>
    <row r="280" ht="15.75" customHeight="1">
      <c r="A280" s="88"/>
      <c r="B280" s="6"/>
      <c r="C280" s="6"/>
      <c r="D280" s="10"/>
      <c r="E280" s="54"/>
    </row>
    <row r="281" ht="15.75" customHeight="1">
      <c r="A281" s="88"/>
      <c r="B281" s="6"/>
      <c r="C281" s="6"/>
      <c r="D281" s="10"/>
      <c r="E281" s="54"/>
    </row>
    <row r="282" ht="15.75" customHeight="1">
      <c r="A282" s="88"/>
      <c r="B282" s="6"/>
      <c r="C282" s="6"/>
      <c r="D282" s="10"/>
      <c r="E282" s="54"/>
    </row>
    <row r="283" ht="15.75" customHeight="1">
      <c r="A283" s="88"/>
      <c r="B283" s="6"/>
      <c r="C283" s="6"/>
      <c r="D283" s="10"/>
      <c r="E283" s="54"/>
    </row>
    <row r="284" ht="15.75" customHeight="1">
      <c r="A284" s="88"/>
      <c r="B284" s="6"/>
      <c r="C284" s="6"/>
      <c r="D284" s="10"/>
      <c r="E284" s="54"/>
    </row>
    <row r="285" ht="15.75" customHeight="1">
      <c r="A285" s="88"/>
      <c r="B285" s="6"/>
      <c r="C285" s="6"/>
      <c r="D285" s="10"/>
      <c r="E285" s="54"/>
    </row>
    <row r="286" ht="15.75" customHeight="1">
      <c r="A286" s="88"/>
      <c r="B286" s="6"/>
      <c r="C286" s="6"/>
      <c r="D286" s="10"/>
      <c r="E286" s="54"/>
    </row>
    <row r="287" ht="15.75" customHeight="1">
      <c r="A287" s="88"/>
      <c r="B287" s="6"/>
      <c r="C287" s="6"/>
      <c r="D287" s="10"/>
      <c r="E287" s="54"/>
    </row>
    <row r="288" ht="15.75" customHeight="1">
      <c r="A288" s="88"/>
      <c r="B288" s="6"/>
      <c r="C288" s="6"/>
      <c r="D288" s="10"/>
      <c r="E288" s="54"/>
    </row>
    <row r="289" ht="15.75" customHeight="1">
      <c r="A289" s="88"/>
      <c r="B289" s="6"/>
      <c r="C289" s="6"/>
      <c r="D289" s="10"/>
      <c r="E289" s="54"/>
    </row>
    <row r="290" ht="15.75" customHeight="1">
      <c r="A290" s="88"/>
      <c r="B290" s="6"/>
      <c r="C290" s="6"/>
      <c r="D290" s="10"/>
      <c r="E290" s="54"/>
    </row>
    <row r="291" ht="15.75" customHeight="1">
      <c r="A291" s="88"/>
      <c r="B291" s="6"/>
      <c r="C291" s="6"/>
      <c r="D291" s="10"/>
      <c r="E291" s="54"/>
    </row>
    <row r="292" ht="15.75" customHeight="1">
      <c r="A292" s="88"/>
      <c r="B292" s="6"/>
      <c r="C292" s="6"/>
      <c r="D292" s="10"/>
      <c r="E292" s="54"/>
    </row>
    <row r="293" ht="15.75" customHeight="1">
      <c r="A293" s="88"/>
      <c r="B293" s="6"/>
      <c r="C293" s="6"/>
      <c r="D293" s="10"/>
      <c r="E293" s="54"/>
    </row>
    <row r="294" ht="15.75" customHeight="1">
      <c r="A294" s="88"/>
      <c r="B294" s="6"/>
      <c r="C294" s="6"/>
      <c r="D294" s="10"/>
      <c r="E294" s="54"/>
    </row>
    <row r="295" ht="15.75" customHeight="1">
      <c r="A295" s="88"/>
      <c r="B295" s="6"/>
      <c r="C295" s="6"/>
      <c r="D295" s="10"/>
      <c r="E295" s="54"/>
    </row>
    <row r="296" ht="15.75" customHeight="1">
      <c r="A296" s="88"/>
      <c r="B296" s="6"/>
      <c r="C296" s="6"/>
      <c r="D296" s="10"/>
      <c r="E296" s="54"/>
    </row>
    <row r="297" ht="15.75" customHeight="1">
      <c r="A297" s="88"/>
      <c r="B297" s="6"/>
      <c r="C297" s="6"/>
      <c r="D297" s="10"/>
      <c r="E297" s="54"/>
    </row>
    <row r="298" ht="15.75" customHeight="1">
      <c r="A298" s="88"/>
      <c r="B298" s="6"/>
      <c r="C298" s="6"/>
      <c r="D298" s="10"/>
      <c r="E298" s="54"/>
    </row>
    <row r="299" ht="15.75" customHeight="1">
      <c r="A299" s="88"/>
      <c r="B299" s="6"/>
      <c r="C299" s="6"/>
      <c r="D299" s="10"/>
      <c r="E299" s="54"/>
    </row>
    <row r="300" ht="15.75" customHeight="1">
      <c r="A300" s="88"/>
      <c r="B300" s="6"/>
      <c r="C300" s="6"/>
      <c r="D300" s="10"/>
      <c r="E300" s="54"/>
    </row>
    <row r="301" ht="15.75" customHeight="1">
      <c r="A301" s="88"/>
      <c r="B301" s="6"/>
      <c r="C301" s="6"/>
      <c r="D301" s="10"/>
      <c r="E301" s="54"/>
    </row>
    <row r="302" ht="15.75" customHeight="1">
      <c r="A302" s="88"/>
      <c r="B302" s="6"/>
      <c r="C302" s="6"/>
      <c r="D302" s="10"/>
      <c r="E302" s="54"/>
    </row>
    <row r="303" ht="15.75" customHeight="1">
      <c r="A303" s="88"/>
      <c r="B303" s="6"/>
      <c r="C303" s="6"/>
      <c r="D303" s="10"/>
      <c r="E303" s="54"/>
    </row>
    <row r="304" ht="15.75" customHeight="1">
      <c r="A304" s="88"/>
      <c r="B304" s="6"/>
      <c r="C304" s="6"/>
      <c r="D304" s="10"/>
      <c r="E304" s="54"/>
    </row>
    <row r="305" ht="15.75" customHeight="1">
      <c r="A305" s="88"/>
      <c r="B305" s="6"/>
      <c r="C305" s="6"/>
      <c r="D305" s="10"/>
      <c r="E305" s="54"/>
    </row>
    <row r="306" ht="15.75" customHeight="1">
      <c r="A306" s="88"/>
      <c r="B306" s="6"/>
      <c r="C306" s="6"/>
      <c r="D306" s="10"/>
      <c r="E306" s="54"/>
    </row>
    <row r="307" ht="15.75" customHeight="1">
      <c r="A307" s="88"/>
      <c r="B307" s="6"/>
      <c r="C307" s="6"/>
      <c r="D307" s="10"/>
      <c r="E307" s="54"/>
    </row>
    <row r="308" ht="15.75" customHeight="1">
      <c r="A308" s="88"/>
      <c r="B308" s="6"/>
      <c r="C308" s="6"/>
      <c r="D308" s="10"/>
      <c r="E308" s="54"/>
    </row>
    <row r="309" ht="15.75" customHeight="1">
      <c r="A309" s="88"/>
      <c r="B309" s="6"/>
      <c r="C309" s="6"/>
      <c r="D309" s="10"/>
      <c r="E309" s="54"/>
    </row>
    <row r="310" ht="15.75" customHeight="1">
      <c r="A310" s="88"/>
      <c r="B310" s="6"/>
      <c r="C310" s="6"/>
      <c r="D310" s="10"/>
      <c r="E310" s="54"/>
    </row>
    <row r="311" ht="15.75" customHeight="1">
      <c r="A311" s="88"/>
      <c r="B311" s="6"/>
      <c r="C311" s="6"/>
      <c r="D311" s="10"/>
      <c r="E311" s="54"/>
    </row>
    <row r="312" ht="15.75" customHeight="1">
      <c r="A312" s="88"/>
      <c r="B312" s="6"/>
      <c r="C312" s="6"/>
      <c r="D312" s="10"/>
      <c r="E312" s="54"/>
    </row>
    <row r="313" ht="15.75" customHeight="1">
      <c r="A313" s="88"/>
      <c r="B313" s="6"/>
      <c r="C313" s="6"/>
      <c r="D313" s="10"/>
      <c r="E313" s="54"/>
    </row>
    <row r="314" ht="15.75" customHeight="1">
      <c r="A314" s="88"/>
      <c r="B314" s="6"/>
      <c r="C314" s="6"/>
      <c r="D314" s="10"/>
      <c r="E314" s="54"/>
    </row>
    <row r="315" ht="15.75" customHeight="1">
      <c r="A315" s="88"/>
      <c r="B315" s="6"/>
      <c r="C315" s="6"/>
      <c r="D315" s="10"/>
      <c r="E315" s="54"/>
    </row>
    <row r="316" ht="15.75" customHeight="1">
      <c r="A316" s="88"/>
      <c r="B316" s="6"/>
      <c r="C316" s="6"/>
      <c r="D316" s="10"/>
      <c r="E316" s="54"/>
    </row>
    <row r="317" ht="15.75" customHeight="1">
      <c r="A317" s="88"/>
      <c r="B317" s="6"/>
      <c r="C317" s="6"/>
      <c r="D317" s="10"/>
      <c r="E317" s="54"/>
    </row>
    <row r="318" ht="15.75" customHeight="1">
      <c r="A318" s="88"/>
      <c r="B318" s="6"/>
      <c r="C318" s="6"/>
      <c r="D318" s="10"/>
      <c r="E318" s="54"/>
    </row>
    <row r="319" ht="15.75" customHeight="1">
      <c r="A319" s="88"/>
      <c r="B319" s="6"/>
      <c r="C319" s="6"/>
      <c r="D319" s="10"/>
      <c r="E319" s="54"/>
    </row>
    <row r="320" ht="15.75" customHeight="1">
      <c r="A320" s="88"/>
      <c r="B320" s="6"/>
      <c r="C320" s="6"/>
      <c r="D320" s="10"/>
      <c r="E320" s="54"/>
    </row>
    <row r="321" ht="15.75" customHeight="1">
      <c r="A321" s="88"/>
      <c r="B321" s="6"/>
      <c r="C321" s="6"/>
      <c r="D321" s="10"/>
      <c r="E321" s="54"/>
    </row>
    <row r="322" ht="15.75" customHeight="1">
      <c r="A322" s="88"/>
      <c r="B322" s="6"/>
      <c r="C322" s="6"/>
      <c r="D322" s="10"/>
      <c r="E322" s="54"/>
    </row>
    <row r="323" ht="15.75" customHeight="1">
      <c r="A323" s="88"/>
      <c r="B323" s="6"/>
      <c r="C323" s="6"/>
      <c r="D323" s="10"/>
      <c r="E323" s="54"/>
    </row>
    <row r="324" ht="15.75" customHeight="1">
      <c r="A324" s="88"/>
      <c r="B324" s="6"/>
      <c r="C324" s="6"/>
      <c r="D324" s="10"/>
      <c r="E324" s="54"/>
    </row>
    <row r="325" ht="15.75" customHeight="1">
      <c r="A325" s="88"/>
      <c r="B325" s="6"/>
      <c r="C325" s="6"/>
      <c r="D325" s="10"/>
      <c r="E325" s="54"/>
    </row>
    <row r="326" ht="15.75" customHeight="1">
      <c r="A326" s="88"/>
      <c r="B326" s="6"/>
      <c r="C326" s="6"/>
      <c r="D326" s="10"/>
      <c r="E326" s="54"/>
    </row>
    <row r="327" ht="15.75" customHeight="1">
      <c r="A327" s="88"/>
      <c r="B327" s="6"/>
      <c r="C327" s="6"/>
      <c r="D327" s="10"/>
      <c r="E327" s="54"/>
    </row>
    <row r="328" ht="15.75" customHeight="1">
      <c r="A328" s="88"/>
      <c r="B328" s="6"/>
      <c r="C328" s="6"/>
      <c r="D328" s="10"/>
      <c r="E328" s="54"/>
    </row>
    <row r="329" ht="15.75" customHeight="1">
      <c r="A329" s="88"/>
      <c r="B329" s="6"/>
      <c r="C329" s="6"/>
      <c r="D329" s="10"/>
      <c r="E329" s="54"/>
    </row>
    <row r="330" ht="15.75" customHeight="1">
      <c r="A330" s="88"/>
      <c r="B330" s="6"/>
      <c r="C330" s="6"/>
      <c r="D330" s="10"/>
      <c r="E330" s="54"/>
    </row>
    <row r="331" ht="15.75" customHeight="1">
      <c r="A331" s="88"/>
      <c r="B331" s="6"/>
      <c r="C331" s="6"/>
      <c r="D331" s="10"/>
      <c r="E331" s="54"/>
    </row>
    <row r="332" ht="15.75" customHeight="1">
      <c r="A332" s="88"/>
      <c r="B332" s="6"/>
      <c r="C332" s="6"/>
      <c r="D332" s="10"/>
      <c r="E332" s="54"/>
    </row>
    <row r="333" ht="15.75" customHeight="1">
      <c r="A333" s="88"/>
      <c r="B333" s="6"/>
      <c r="C333" s="6"/>
      <c r="D333" s="10"/>
      <c r="E333" s="54"/>
    </row>
    <row r="334" ht="15.75" customHeight="1">
      <c r="A334" s="88"/>
      <c r="B334" s="6"/>
      <c r="C334" s="6"/>
      <c r="D334" s="10"/>
      <c r="E334" s="54"/>
    </row>
    <row r="335" ht="15.75" customHeight="1">
      <c r="A335" s="88"/>
      <c r="B335" s="6"/>
      <c r="C335" s="6"/>
      <c r="D335" s="10"/>
      <c r="E335" s="54"/>
    </row>
    <row r="336" ht="15.75" customHeight="1">
      <c r="A336" s="88"/>
      <c r="B336" s="6"/>
      <c r="C336" s="6"/>
      <c r="D336" s="10"/>
      <c r="E336" s="54"/>
    </row>
    <row r="337" ht="15.75" customHeight="1">
      <c r="A337" s="88"/>
      <c r="B337" s="6"/>
      <c r="C337" s="6"/>
      <c r="D337" s="10"/>
      <c r="E337" s="54"/>
    </row>
    <row r="338" ht="15.75" customHeight="1">
      <c r="A338" s="88"/>
      <c r="B338" s="6"/>
      <c r="C338" s="6"/>
      <c r="D338" s="10"/>
      <c r="E338" s="54"/>
    </row>
    <row r="339" ht="15.75" customHeight="1">
      <c r="A339" s="88"/>
      <c r="B339" s="6"/>
      <c r="C339" s="6"/>
      <c r="D339" s="10"/>
      <c r="E339" s="54"/>
    </row>
    <row r="340" ht="15.75" customHeight="1">
      <c r="A340" s="88"/>
      <c r="B340" s="6"/>
      <c r="C340" s="6"/>
      <c r="D340" s="10"/>
      <c r="E340" s="54"/>
    </row>
    <row r="341" ht="15.75" customHeight="1">
      <c r="A341" s="88"/>
      <c r="B341" s="6"/>
      <c r="C341" s="6"/>
      <c r="D341" s="10"/>
      <c r="E341" s="54"/>
    </row>
    <row r="342" ht="15.75" customHeight="1">
      <c r="A342" s="88"/>
      <c r="B342" s="6"/>
      <c r="C342" s="6"/>
      <c r="D342" s="10"/>
      <c r="E342" s="54"/>
    </row>
    <row r="343" ht="15.75" customHeight="1">
      <c r="A343" s="88"/>
      <c r="B343" s="6"/>
      <c r="C343" s="6"/>
      <c r="D343" s="10"/>
      <c r="E343" s="54"/>
    </row>
    <row r="344" ht="15.75" customHeight="1">
      <c r="A344" s="88"/>
      <c r="B344" s="6"/>
      <c r="C344" s="6"/>
      <c r="D344" s="10"/>
      <c r="E344" s="54"/>
    </row>
    <row r="345" ht="15.75" customHeight="1">
      <c r="A345" s="88"/>
      <c r="B345" s="6"/>
      <c r="C345" s="6"/>
      <c r="D345" s="10"/>
      <c r="E345" s="54"/>
    </row>
    <row r="346" ht="15.75" customHeight="1">
      <c r="A346" s="88"/>
      <c r="B346" s="6"/>
      <c r="C346" s="6"/>
      <c r="D346" s="10"/>
      <c r="E346" s="54"/>
    </row>
    <row r="347" ht="15.75" customHeight="1">
      <c r="A347" s="88"/>
      <c r="B347" s="6"/>
      <c r="C347" s="6"/>
      <c r="D347" s="10"/>
      <c r="E347" s="54"/>
    </row>
    <row r="348" ht="15.75" customHeight="1">
      <c r="A348" s="88"/>
      <c r="B348" s="6"/>
      <c r="C348" s="6"/>
      <c r="D348" s="10"/>
      <c r="E348" s="54"/>
    </row>
    <row r="349" ht="15.75" customHeight="1">
      <c r="A349" s="88"/>
      <c r="B349" s="6"/>
      <c r="C349" s="6"/>
      <c r="D349" s="10"/>
      <c r="E349" s="54"/>
    </row>
    <row r="350" ht="15.75" customHeight="1">
      <c r="A350" s="88"/>
      <c r="B350" s="6"/>
      <c r="C350" s="6"/>
      <c r="D350" s="10"/>
      <c r="E350" s="54"/>
    </row>
    <row r="351" ht="15.75" customHeight="1">
      <c r="A351" s="88"/>
      <c r="B351" s="6"/>
      <c r="C351" s="6"/>
      <c r="D351" s="10"/>
      <c r="E351" s="54"/>
    </row>
    <row r="352" ht="15.75" customHeight="1">
      <c r="A352" s="88"/>
      <c r="B352" s="6"/>
      <c r="C352" s="6"/>
      <c r="D352" s="10"/>
      <c r="E352" s="54"/>
    </row>
    <row r="353" ht="15.75" customHeight="1">
      <c r="A353" s="88"/>
      <c r="B353" s="6"/>
      <c r="C353" s="6"/>
      <c r="D353" s="10"/>
      <c r="E353" s="54"/>
    </row>
    <row r="354" ht="15.75" customHeight="1">
      <c r="A354" s="88"/>
      <c r="B354" s="6"/>
      <c r="C354" s="6"/>
      <c r="D354" s="10"/>
      <c r="E354" s="54"/>
    </row>
    <row r="355" ht="15.75" customHeight="1">
      <c r="A355" s="88"/>
      <c r="B355" s="6"/>
      <c r="C355" s="6"/>
      <c r="D355" s="10"/>
      <c r="E355" s="54"/>
    </row>
    <row r="356" ht="15.75" customHeight="1">
      <c r="A356" s="88"/>
      <c r="B356" s="6"/>
      <c r="C356" s="6"/>
      <c r="D356" s="10"/>
      <c r="E356" s="54"/>
    </row>
    <row r="357" ht="15.75" customHeight="1">
      <c r="A357" s="88"/>
      <c r="B357" s="6"/>
      <c r="C357" s="6"/>
      <c r="D357" s="10"/>
      <c r="E357" s="54"/>
    </row>
    <row r="358" ht="15.75" customHeight="1">
      <c r="A358" s="88"/>
      <c r="B358" s="6"/>
      <c r="C358" s="6"/>
      <c r="D358" s="10"/>
      <c r="E358" s="54"/>
    </row>
    <row r="359" ht="15.75" customHeight="1">
      <c r="A359" s="88"/>
      <c r="B359" s="6"/>
      <c r="C359" s="6"/>
      <c r="D359" s="10"/>
      <c r="E359" s="54"/>
    </row>
    <row r="360" ht="15.75" customHeight="1">
      <c r="A360" s="88"/>
      <c r="B360" s="6"/>
      <c r="C360" s="6"/>
      <c r="D360" s="10"/>
      <c r="E360" s="54"/>
    </row>
    <row r="361" ht="15.75" customHeight="1">
      <c r="A361" s="88"/>
      <c r="B361" s="6"/>
      <c r="C361" s="6"/>
      <c r="D361" s="10"/>
      <c r="E361" s="54"/>
    </row>
    <row r="362" ht="15.75" customHeight="1">
      <c r="A362" s="88"/>
      <c r="B362" s="6"/>
      <c r="C362" s="6"/>
      <c r="D362" s="10"/>
      <c r="E362" s="54"/>
    </row>
    <row r="363" ht="15.75" customHeight="1">
      <c r="A363" s="88"/>
      <c r="B363" s="6"/>
      <c r="C363" s="6"/>
      <c r="D363" s="10"/>
      <c r="E363" s="54"/>
    </row>
    <row r="364" ht="15.75" customHeight="1">
      <c r="A364" s="88"/>
      <c r="B364" s="6"/>
      <c r="C364" s="6"/>
      <c r="D364" s="10"/>
      <c r="E364" s="54"/>
    </row>
    <row r="365" ht="15.75" customHeight="1">
      <c r="A365" s="88"/>
      <c r="B365" s="6"/>
      <c r="C365" s="6"/>
      <c r="D365" s="10"/>
      <c r="E365" s="54"/>
    </row>
    <row r="366" ht="15.75" customHeight="1">
      <c r="A366" s="88"/>
      <c r="B366" s="6"/>
      <c r="C366" s="6"/>
      <c r="D366" s="10"/>
      <c r="E366" s="54"/>
    </row>
    <row r="367" ht="15.75" customHeight="1">
      <c r="A367" s="88"/>
      <c r="B367" s="6"/>
      <c r="C367" s="6"/>
      <c r="D367" s="10"/>
      <c r="E367" s="54"/>
    </row>
    <row r="368" ht="15.75" customHeight="1">
      <c r="A368" s="88"/>
      <c r="B368" s="6"/>
      <c r="C368" s="6"/>
      <c r="D368" s="10"/>
      <c r="E368" s="54"/>
    </row>
    <row r="369" ht="15.75" customHeight="1">
      <c r="A369" s="88"/>
      <c r="B369" s="6"/>
      <c r="C369" s="6"/>
      <c r="D369" s="10"/>
      <c r="E369" s="54"/>
    </row>
    <row r="370" ht="15.75" customHeight="1">
      <c r="A370" s="88"/>
      <c r="B370" s="6"/>
      <c r="C370" s="6"/>
      <c r="D370" s="10"/>
      <c r="E370" s="54"/>
    </row>
    <row r="371" ht="15.75" customHeight="1">
      <c r="A371" s="88"/>
      <c r="B371" s="6"/>
      <c r="C371" s="6"/>
      <c r="D371" s="10"/>
      <c r="E371" s="54"/>
    </row>
    <row r="372" ht="15.75" customHeight="1">
      <c r="A372" s="88"/>
      <c r="B372" s="6"/>
      <c r="C372" s="6"/>
      <c r="D372" s="10"/>
      <c r="E372" s="54"/>
    </row>
    <row r="373" ht="15.75" customHeight="1">
      <c r="A373" s="88"/>
      <c r="B373" s="6"/>
      <c r="C373" s="6"/>
      <c r="D373" s="10"/>
      <c r="E373" s="54"/>
    </row>
    <row r="374" ht="15.75" customHeight="1">
      <c r="A374" s="88"/>
      <c r="B374" s="6"/>
      <c r="C374" s="6"/>
      <c r="D374" s="10"/>
      <c r="E374" s="54"/>
    </row>
    <row r="375" ht="15.75" customHeight="1">
      <c r="A375" s="88"/>
      <c r="B375" s="6"/>
      <c r="C375" s="6"/>
      <c r="D375" s="10"/>
      <c r="E375" s="54"/>
    </row>
    <row r="376" ht="15.75" customHeight="1">
      <c r="A376" s="88"/>
      <c r="B376" s="6"/>
      <c r="C376" s="6"/>
      <c r="D376" s="10"/>
      <c r="E376" s="54"/>
    </row>
    <row r="377" ht="15.75" customHeight="1">
      <c r="A377" s="88"/>
      <c r="B377" s="6"/>
      <c r="C377" s="6"/>
      <c r="D377" s="10"/>
      <c r="E377" s="54"/>
    </row>
    <row r="378" ht="15.75" customHeight="1">
      <c r="A378" s="88"/>
      <c r="B378" s="6"/>
      <c r="C378" s="6"/>
      <c r="D378" s="10"/>
      <c r="E378" s="54"/>
    </row>
    <row r="379" ht="15.75" customHeight="1">
      <c r="A379" s="88"/>
      <c r="B379" s="6"/>
      <c r="C379" s="6"/>
      <c r="D379" s="10"/>
      <c r="E379" s="54"/>
    </row>
    <row r="380" ht="15.75" customHeight="1">
      <c r="A380" s="88"/>
      <c r="B380" s="6"/>
      <c r="C380" s="6"/>
      <c r="D380" s="10"/>
      <c r="E380" s="54"/>
    </row>
    <row r="381" ht="15.75" customHeight="1">
      <c r="A381" s="88"/>
      <c r="B381" s="6"/>
      <c r="C381" s="6"/>
      <c r="D381" s="10"/>
      <c r="E381" s="54"/>
    </row>
    <row r="382" ht="15.75" customHeight="1">
      <c r="A382" s="88"/>
      <c r="B382" s="6"/>
      <c r="C382" s="6"/>
      <c r="D382" s="10"/>
      <c r="E382" s="54"/>
    </row>
    <row r="383" ht="15.75" customHeight="1">
      <c r="A383" s="88"/>
      <c r="B383" s="6"/>
      <c r="C383" s="6"/>
      <c r="D383" s="10"/>
      <c r="E383" s="54"/>
    </row>
    <row r="384" ht="15.75" customHeight="1">
      <c r="A384" s="88"/>
      <c r="B384" s="6"/>
      <c r="C384" s="6"/>
      <c r="D384" s="10"/>
      <c r="E384" s="54"/>
    </row>
    <row r="385" ht="15.75" customHeight="1">
      <c r="A385" s="88"/>
      <c r="B385" s="6"/>
      <c r="C385" s="6"/>
      <c r="D385" s="10"/>
      <c r="E385" s="54"/>
    </row>
    <row r="386" ht="15.75" customHeight="1">
      <c r="A386" s="88"/>
      <c r="B386" s="6"/>
      <c r="C386" s="6"/>
      <c r="D386" s="10"/>
      <c r="E386" s="54"/>
    </row>
    <row r="387" ht="15.75" customHeight="1">
      <c r="A387" s="88"/>
      <c r="B387" s="6"/>
      <c r="C387" s="6"/>
      <c r="D387" s="10"/>
      <c r="E387" s="54"/>
    </row>
    <row r="388" ht="15.75" customHeight="1">
      <c r="A388" s="88"/>
      <c r="B388" s="6"/>
      <c r="C388" s="6"/>
      <c r="D388" s="10"/>
      <c r="E388" s="54"/>
    </row>
    <row r="389" ht="15.75" customHeight="1">
      <c r="A389" s="88"/>
      <c r="B389" s="6"/>
      <c r="C389" s="6"/>
      <c r="D389" s="10"/>
      <c r="E389" s="54"/>
    </row>
    <row r="390" ht="15.75" customHeight="1">
      <c r="A390" s="88"/>
      <c r="B390" s="6"/>
      <c r="C390" s="6"/>
      <c r="D390" s="10"/>
      <c r="E390" s="54"/>
    </row>
    <row r="391" ht="15.75" customHeight="1">
      <c r="A391" s="88"/>
      <c r="B391" s="6"/>
      <c r="C391" s="6"/>
      <c r="D391" s="10"/>
      <c r="E391" s="54"/>
    </row>
    <row r="392" ht="15.75" customHeight="1">
      <c r="A392" s="88"/>
      <c r="B392" s="6"/>
      <c r="C392" s="6"/>
      <c r="D392" s="10"/>
      <c r="E392" s="54"/>
    </row>
    <row r="393" ht="15.75" customHeight="1">
      <c r="A393" s="88"/>
      <c r="B393" s="6"/>
      <c r="C393" s="6"/>
      <c r="D393" s="10"/>
      <c r="E393" s="54"/>
    </row>
    <row r="394" ht="15.75" customHeight="1">
      <c r="A394" s="88"/>
      <c r="B394" s="6"/>
      <c r="C394" s="6"/>
      <c r="D394" s="10"/>
      <c r="E394" s="54"/>
    </row>
    <row r="395" ht="15.75" customHeight="1">
      <c r="A395" s="88"/>
      <c r="B395" s="6"/>
      <c r="C395" s="6"/>
      <c r="D395" s="10"/>
      <c r="E395" s="54"/>
    </row>
    <row r="396" ht="15.75" customHeight="1">
      <c r="A396" s="88"/>
      <c r="B396" s="6"/>
      <c r="C396" s="6"/>
      <c r="D396" s="10"/>
      <c r="E396" s="54"/>
    </row>
    <row r="397" ht="15.75" customHeight="1">
      <c r="A397" s="88"/>
      <c r="B397" s="6"/>
      <c r="C397" s="6"/>
      <c r="D397" s="10"/>
      <c r="E397" s="54"/>
    </row>
    <row r="398" ht="15.75" customHeight="1">
      <c r="A398" s="88"/>
      <c r="B398" s="6"/>
      <c r="C398" s="6"/>
      <c r="D398" s="10"/>
      <c r="E398" s="54"/>
    </row>
    <row r="399" ht="15.75" customHeight="1">
      <c r="A399" s="88"/>
      <c r="B399" s="6"/>
      <c r="C399" s="6"/>
      <c r="D399" s="10"/>
      <c r="E399" s="54"/>
    </row>
    <row r="400" ht="15.75" customHeight="1">
      <c r="A400" s="88"/>
      <c r="B400" s="6"/>
      <c r="C400" s="6"/>
      <c r="D400" s="10"/>
      <c r="E400" s="54"/>
    </row>
    <row r="401" ht="15.75" customHeight="1">
      <c r="A401" s="88"/>
      <c r="B401" s="6"/>
      <c r="C401" s="6"/>
      <c r="D401" s="10"/>
      <c r="E401" s="54"/>
    </row>
    <row r="402" ht="15.75" customHeight="1">
      <c r="A402" s="88"/>
      <c r="B402" s="6"/>
      <c r="C402" s="6"/>
      <c r="D402" s="10"/>
      <c r="E402" s="54"/>
    </row>
    <row r="403" ht="15.75" customHeight="1">
      <c r="A403" s="88"/>
      <c r="B403" s="6"/>
      <c r="C403" s="6"/>
      <c r="D403" s="10"/>
      <c r="E403" s="54"/>
    </row>
    <row r="404" ht="15.75" customHeight="1">
      <c r="A404" s="88"/>
      <c r="B404" s="6"/>
      <c r="C404" s="6"/>
      <c r="D404" s="10"/>
      <c r="E404" s="54"/>
    </row>
    <row r="405" ht="15.75" customHeight="1">
      <c r="A405" s="88"/>
      <c r="B405" s="6"/>
      <c r="C405" s="6"/>
      <c r="D405" s="10"/>
      <c r="E405" s="54"/>
    </row>
    <row r="406" ht="15.75" customHeight="1">
      <c r="A406" s="88"/>
      <c r="B406" s="6"/>
      <c r="C406" s="6"/>
      <c r="D406" s="10"/>
      <c r="E406" s="54"/>
    </row>
    <row r="407" ht="15.75" customHeight="1">
      <c r="A407" s="88"/>
      <c r="B407" s="6"/>
      <c r="C407" s="6"/>
      <c r="D407" s="10"/>
      <c r="E407" s="54"/>
    </row>
    <row r="408" ht="15.75" customHeight="1">
      <c r="A408" s="88"/>
      <c r="B408" s="6"/>
      <c r="C408" s="6"/>
      <c r="D408" s="10"/>
      <c r="E408" s="54"/>
    </row>
    <row r="409" ht="15.75" customHeight="1">
      <c r="A409" s="88"/>
      <c r="B409" s="6"/>
      <c r="C409" s="6"/>
      <c r="D409" s="10"/>
      <c r="E409" s="54"/>
    </row>
    <row r="410" ht="15.75" customHeight="1">
      <c r="A410" s="88"/>
      <c r="B410" s="6"/>
      <c r="C410" s="6"/>
      <c r="D410" s="10"/>
      <c r="E410" s="54"/>
    </row>
    <row r="411" ht="15.75" customHeight="1">
      <c r="A411" s="88"/>
      <c r="B411" s="6"/>
      <c r="C411" s="6"/>
      <c r="D411" s="10"/>
      <c r="E411" s="54"/>
    </row>
    <row r="412" ht="15.75" customHeight="1">
      <c r="A412" s="88"/>
      <c r="B412" s="6"/>
      <c r="C412" s="6"/>
      <c r="D412" s="10"/>
      <c r="E412" s="54"/>
    </row>
    <row r="413" ht="15.75" customHeight="1">
      <c r="A413" s="88"/>
      <c r="B413" s="6"/>
      <c r="C413" s="6"/>
      <c r="D413" s="10"/>
      <c r="E413" s="54"/>
    </row>
    <row r="414" ht="15.75" customHeight="1">
      <c r="A414" s="88"/>
      <c r="B414" s="6"/>
      <c r="C414" s="6"/>
      <c r="D414" s="10"/>
      <c r="E414" s="54"/>
    </row>
    <row r="415" ht="15.75" customHeight="1">
      <c r="A415" s="88"/>
      <c r="B415" s="6"/>
      <c r="C415" s="6"/>
      <c r="D415" s="10"/>
      <c r="E415" s="54"/>
    </row>
    <row r="416" ht="15.75" customHeight="1">
      <c r="A416" s="88"/>
      <c r="B416" s="6"/>
      <c r="C416" s="6"/>
      <c r="D416" s="10"/>
      <c r="E416" s="54"/>
    </row>
    <row r="417" ht="15.75" customHeight="1">
      <c r="A417" s="88"/>
      <c r="B417" s="6"/>
      <c r="C417" s="6"/>
      <c r="D417" s="10"/>
      <c r="E417" s="54"/>
    </row>
    <row r="418" ht="15.75" customHeight="1">
      <c r="A418" s="88"/>
      <c r="B418" s="6"/>
      <c r="C418" s="6"/>
      <c r="D418" s="10"/>
      <c r="E418" s="54"/>
    </row>
    <row r="419" ht="15.75" customHeight="1">
      <c r="A419" s="88"/>
      <c r="B419" s="6"/>
      <c r="C419" s="6"/>
      <c r="D419" s="10"/>
      <c r="E419" s="54"/>
    </row>
    <row r="420" ht="15.75" customHeight="1">
      <c r="A420" s="88"/>
      <c r="B420" s="6"/>
      <c r="C420" s="6"/>
      <c r="D420" s="10"/>
      <c r="E420" s="54"/>
    </row>
    <row r="421" ht="15.75" customHeight="1">
      <c r="A421" s="88"/>
      <c r="B421" s="6"/>
      <c r="C421" s="6"/>
      <c r="D421" s="10"/>
      <c r="E421" s="54"/>
    </row>
    <row r="422" ht="15.75" customHeight="1">
      <c r="A422" s="88"/>
      <c r="B422" s="6"/>
      <c r="C422" s="6"/>
      <c r="D422" s="10"/>
      <c r="E422" s="54"/>
    </row>
    <row r="423" ht="15.75" customHeight="1">
      <c r="A423" s="88"/>
      <c r="B423" s="6"/>
      <c r="C423" s="6"/>
      <c r="D423" s="10"/>
      <c r="E423" s="54"/>
    </row>
    <row r="424" ht="15.75" customHeight="1">
      <c r="A424" s="88"/>
      <c r="B424" s="6"/>
      <c r="C424" s="6"/>
      <c r="D424" s="10"/>
      <c r="E424" s="54"/>
    </row>
    <row r="425" ht="15.75" customHeight="1">
      <c r="A425" s="88"/>
      <c r="B425" s="6"/>
      <c r="C425" s="6"/>
      <c r="D425" s="10"/>
      <c r="E425" s="54"/>
    </row>
    <row r="426" ht="15.75" customHeight="1">
      <c r="A426" s="88"/>
      <c r="B426" s="6"/>
      <c r="C426" s="6"/>
      <c r="D426" s="10"/>
      <c r="E426" s="54"/>
    </row>
    <row r="427" ht="15.75" customHeight="1">
      <c r="A427" s="88"/>
      <c r="B427" s="6"/>
      <c r="C427" s="6"/>
      <c r="D427" s="10"/>
      <c r="E427" s="54"/>
    </row>
    <row r="428" ht="15.75" customHeight="1">
      <c r="A428" s="88"/>
      <c r="B428" s="6"/>
      <c r="C428" s="6"/>
      <c r="D428" s="10"/>
      <c r="E428" s="54"/>
    </row>
    <row r="429" ht="15.75" customHeight="1">
      <c r="A429" s="88"/>
      <c r="B429" s="6"/>
      <c r="C429" s="6"/>
      <c r="D429" s="10"/>
      <c r="E429" s="54"/>
    </row>
    <row r="430" ht="15.75" customHeight="1">
      <c r="A430" s="88"/>
      <c r="B430" s="6"/>
      <c r="C430" s="6"/>
      <c r="D430" s="10"/>
      <c r="E430" s="54"/>
    </row>
    <row r="431" ht="15.75" customHeight="1">
      <c r="A431" s="88"/>
      <c r="B431" s="6"/>
      <c r="C431" s="6"/>
      <c r="D431" s="10"/>
      <c r="E431" s="54"/>
    </row>
    <row r="432" ht="15.75" customHeight="1">
      <c r="A432" s="88"/>
      <c r="B432" s="6"/>
      <c r="C432" s="6"/>
      <c r="D432" s="10"/>
      <c r="E432" s="54"/>
    </row>
    <row r="433" ht="15.75" customHeight="1">
      <c r="A433" s="88"/>
      <c r="B433" s="6"/>
      <c r="C433" s="6"/>
      <c r="D433" s="10"/>
      <c r="E433" s="54"/>
    </row>
    <row r="434" ht="15.75" customHeight="1">
      <c r="A434" s="88"/>
      <c r="B434" s="6"/>
      <c r="C434" s="6"/>
      <c r="D434" s="10"/>
      <c r="E434" s="54"/>
    </row>
    <row r="435" ht="15.75" customHeight="1">
      <c r="A435" s="88"/>
      <c r="B435" s="6"/>
      <c r="C435" s="6"/>
      <c r="D435" s="10"/>
      <c r="E435" s="54"/>
    </row>
    <row r="436" ht="15.75" customHeight="1">
      <c r="A436" s="88"/>
      <c r="B436" s="6"/>
      <c r="C436" s="6"/>
      <c r="D436" s="10"/>
      <c r="E436" s="54"/>
    </row>
    <row r="437" ht="15.75" customHeight="1">
      <c r="A437" s="88"/>
      <c r="B437" s="6"/>
      <c r="C437" s="6"/>
      <c r="D437" s="10"/>
      <c r="E437" s="54"/>
    </row>
    <row r="438" ht="15.75" customHeight="1">
      <c r="A438" s="88"/>
      <c r="B438" s="6"/>
      <c r="C438" s="6"/>
      <c r="D438" s="10"/>
      <c r="E438" s="54"/>
    </row>
    <row r="439" ht="15.75" customHeight="1">
      <c r="A439" s="88"/>
      <c r="B439" s="6"/>
      <c r="C439" s="6"/>
      <c r="D439" s="10"/>
      <c r="E439" s="54"/>
    </row>
    <row r="440" ht="15.75" customHeight="1">
      <c r="A440" s="88"/>
      <c r="B440" s="6"/>
      <c r="C440" s="6"/>
      <c r="D440" s="10"/>
      <c r="E440" s="54"/>
    </row>
    <row r="441" ht="15.75" customHeight="1">
      <c r="A441" s="88"/>
      <c r="B441" s="6"/>
      <c r="C441" s="6"/>
      <c r="D441" s="10"/>
      <c r="E441" s="54"/>
    </row>
    <row r="442" ht="15.75" customHeight="1">
      <c r="A442" s="88"/>
      <c r="B442" s="6"/>
      <c r="C442" s="6"/>
      <c r="D442" s="10"/>
      <c r="E442" s="54"/>
    </row>
    <row r="443" ht="15.75" customHeight="1">
      <c r="A443" s="88"/>
      <c r="B443" s="6"/>
      <c r="C443" s="6"/>
      <c r="D443" s="10"/>
      <c r="E443" s="54"/>
    </row>
    <row r="444" ht="15.75" customHeight="1">
      <c r="A444" s="88"/>
      <c r="B444" s="6"/>
      <c r="C444" s="6"/>
      <c r="D444" s="10"/>
      <c r="E444" s="54"/>
    </row>
    <row r="445" ht="15.75" customHeight="1">
      <c r="A445" s="88"/>
      <c r="B445" s="6"/>
      <c r="C445" s="6"/>
      <c r="D445" s="10"/>
      <c r="E445" s="54"/>
    </row>
    <row r="446" ht="15.75" customHeight="1">
      <c r="A446" s="88"/>
      <c r="B446" s="6"/>
      <c r="C446" s="6"/>
      <c r="D446" s="10"/>
      <c r="E446" s="54"/>
    </row>
    <row r="447" ht="15.75" customHeight="1">
      <c r="A447" s="88"/>
      <c r="B447" s="6"/>
      <c r="C447" s="6"/>
      <c r="D447" s="10"/>
      <c r="E447" s="54"/>
    </row>
    <row r="448" ht="15.75" customHeight="1">
      <c r="A448" s="88"/>
      <c r="B448" s="6"/>
      <c r="C448" s="6"/>
      <c r="D448" s="10"/>
      <c r="E448" s="54"/>
    </row>
    <row r="449" ht="15.75" customHeight="1">
      <c r="A449" s="88"/>
      <c r="B449" s="6"/>
      <c r="C449" s="6"/>
      <c r="D449" s="10"/>
      <c r="E449" s="54"/>
    </row>
    <row r="450" ht="15.75" customHeight="1">
      <c r="A450" s="88"/>
      <c r="B450" s="6"/>
      <c r="C450" s="6"/>
      <c r="D450" s="10"/>
      <c r="E450" s="54"/>
    </row>
    <row r="451" ht="15.75" customHeight="1">
      <c r="A451" s="88"/>
      <c r="B451" s="6"/>
      <c r="C451" s="6"/>
      <c r="D451" s="10"/>
      <c r="E451" s="54"/>
    </row>
    <row r="452" ht="15.75" customHeight="1">
      <c r="A452" s="88"/>
      <c r="B452" s="6"/>
      <c r="C452" s="6"/>
      <c r="D452" s="10"/>
      <c r="E452" s="54"/>
    </row>
    <row r="453" ht="15.75" customHeight="1">
      <c r="A453" s="88"/>
      <c r="B453" s="6"/>
      <c r="C453" s="6"/>
      <c r="D453" s="10"/>
      <c r="E453" s="54"/>
    </row>
    <row r="454" ht="15.75" customHeight="1">
      <c r="A454" s="88"/>
      <c r="B454" s="6"/>
      <c r="C454" s="6"/>
      <c r="D454" s="10"/>
      <c r="E454" s="54"/>
    </row>
    <row r="455" ht="15.75" customHeight="1">
      <c r="A455" s="88"/>
      <c r="B455" s="6"/>
      <c r="C455" s="6"/>
      <c r="D455" s="10"/>
      <c r="E455" s="54"/>
    </row>
    <row r="456" ht="15.75" customHeight="1">
      <c r="A456" s="88"/>
      <c r="B456" s="6"/>
      <c r="C456" s="6"/>
      <c r="D456" s="10"/>
      <c r="E456" s="54"/>
    </row>
    <row r="457" ht="15.75" customHeight="1">
      <c r="A457" s="88"/>
      <c r="B457" s="6"/>
      <c r="C457" s="6"/>
      <c r="D457" s="10"/>
      <c r="E457" s="54"/>
    </row>
    <row r="458" ht="15.75" customHeight="1">
      <c r="A458" s="88"/>
      <c r="B458" s="6"/>
      <c r="C458" s="6"/>
      <c r="D458" s="10"/>
      <c r="E458" s="54"/>
    </row>
    <row r="459" ht="15.75" customHeight="1">
      <c r="A459" s="88"/>
      <c r="B459" s="6"/>
      <c r="C459" s="6"/>
      <c r="D459" s="10"/>
      <c r="E459" s="54"/>
    </row>
    <row r="460" ht="15.75" customHeight="1">
      <c r="A460" s="88"/>
      <c r="B460" s="6"/>
      <c r="C460" s="6"/>
      <c r="D460" s="10"/>
      <c r="E460" s="54"/>
    </row>
    <row r="461" ht="15.75" customHeight="1">
      <c r="A461" s="88"/>
      <c r="B461" s="6"/>
      <c r="C461" s="6"/>
      <c r="D461" s="10"/>
      <c r="E461" s="54"/>
    </row>
    <row r="462" ht="15.75" customHeight="1">
      <c r="A462" s="88"/>
      <c r="B462" s="6"/>
      <c r="C462" s="6"/>
      <c r="D462" s="10"/>
      <c r="E462" s="54"/>
    </row>
    <row r="463" ht="15.75" customHeight="1">
      <c r="A463" s="88"/>
      <c r="B463" s="6"/>
      <c r="C463" s="6"/>
      <c r="D463" s="10"/>
      <c r="E463" s="54"/>
    </row>
    <row r="464" ht="15.75" customHeight="1">
      <c r="A464" s="88"/>
      <c r="B464" s="6"/>
      <c r="C464" s="6"/>
      <c r="D464" s="10"/>
      <c r="E464" s="54"/>
    </row>
    <row r="465" ht="15.75" customHeight="1">
      <c r="A465" s="88"/>
      <c r="B465" s="6"/>
      <c r="C465" s="6"/>
      <c r="D465" s="10"/>
      <c r="E465" s="54"/>
    </row>
    <row r="466" ht="15.75" customHeight="1">
      <c r="A466" s="88"/>
      <c r="B466" s="6"/>
      <c r="C466" s="6"/>
      <c r="D466" s="10"/>
      <c r="E466" s="54"/>
    </row>
    <row r="467" ht="15.75" customHeight="1">
      <c r="A467" s="88"/>
      <c r="B467" s="6"/>
      <c r="C467" s="6"/>
      <c r="D467" s="10"/>
      <c r="E467" s="54"/>
    </row>
    <row r="468" ht="15.75" customHeight="1">
      <c r="A468" s="88"/>
      <c r="B468" s="6"/>
      <c r="C468" s="6"/>
      <c r="D468" s="10"/>
      <c r="E468" s="54"/>
    </row>
    <row r="469" ht="15.75" customHeight="1">
      <c r="A469" s="88"/>
      <c r="B469" s="6"/>
      <c r="C469" s="6"/>
      <c r="D469" s="10"/>
      <c r="E469" s="54"/>
    </row>
    <row r="470" ht="15.75" customHeight="1">
      <c r="A470" s="88"/>
      <c r="B470" s="6"/>
      <c r="C470" s="6"/>
      <c r="D470" s="10"/>
      <c r="E470" s="54"/>
    </row>
    <row r="471" ht="15.75" customHeight="1">
      <c r="A471" s="88"/>
      <c r="B471" s="6"/>
      <c r="C471" s="6"/>
      <c r="D471" s="10"/>
      <c r="E471" s="54"/>
    </row>
    <row r="472" ht="15.75" customHeight="1">
      <c r="A472" s="88"/>
      <c r="B472" s="6"/>
      <c r="C472" s="6"/>
      <c r="D472" s="10"/>
      <c r="E472" s="54"/>
    </row>
    <row r="473" ht="15.75" customHeight="1">
      <c r="A473" s="88"/>
      <c r="B473" s="6"/>
      <c r="C473" s="6"/>
      <c r="D473" s="10"/>
      <c r="E473" s="54"/>
    </row>
    <row r="474" ht="15.75" customHeight="1">
      <c r="A474" s="88"/>
      <c r="B474" s="6"/>
      <c r="C474" s="6"/>
      <c r="D474" s="10"/>
      <c r="E474" s="54"/>
    </row>
    <row r="475" ht="15.75" customHeight="1">
      <c r="A475" s="88"/>
      <c r="B475" s="6"/>
      <c r="C475" s="6"/>
      <c r="D475" s="10"/>
      <c r="E475" s="54"/>
    </row>
    <row r="476" ht="15.75" customHeight="1">
      <c r="A476" s="88"/>
      <c r="B476" s="6"/>
      <c r="C476" s="6"/>
      <c r="D476" s="10"/>
      <c r="E476" s="54"/>
    </row>
    <row r="477" ht="15.75" customHeight="1">
      <c r="A477" s="88"/>
      <c r="B477" s="6"/>
      <c r="C477" s="6"/>
      <c r="D477" s="10"/>
      <c r="E477" s="54"/>
    </row>
    <row r="478" ht="15.75" customHeight="1">
      <c r="A478" s="88"/>
      <c r="B478" s="6"/>
      <c r="C478" s="6"/>
      <c r="D478" s="10"/>
      <c r="E478" s="54"/>
    </row>
    <row r="479" ht="15.75" customHeight="1">
      <c r="A479" s="88"/>
      <c r="B479" s="6"/>
      <c r="C479" s="6"/>
      <c r="D479" s="10"/>
      <c r="E479" s="54"/>
    </row>
    <row r="480" ht="15.75" customHeight="1">
      <c r="A480" s="88"/>
      <c r="B480" s="6"/>
      <c r="C480" s="6"/>
      <c r="D480" s="10"/>
      <c r="E480" s="54"/>
    </row>
    <row r="481" ht="15.75" customHeight="1">
      <c r="A481" s="88"/>
      <c r="B481" s="6"/>
      <c r="C481" s="6"/>
      <c r="D481" s="10"/>
      <c r="E481" s="54"/>
    </row>
    <row r="482" ht="15.75" customHeight="1">
      <c r="A482" s="88"/>
      <c r="B482" s="6"/>
      <c r="C482" s="6"/>
      <c r="D482" s="10"/>
      <c r="E482" s="54"/>
    </row>
    <row r="483" ht="15.75" customHeight="1">
      <c r="A483" s="88"/>
      <c r="B483" s="6"/>
      <c r="C483" s="6"/>
      <c r="D483" s="10"/>
      <c r="E483" s="54"/>
    </row>
    <row r="484" ht="15.75" customHeight="1">
      <c r="A484" s="88"/>
      <c r="B484" s="6"/>
      <c r="C484" s="6"/>
      <c r="D484" s="10"/>
      <c r="E484" s="54"/>
    </row>
    <row r="485" ht="15.75" customHeight="1">
      <c r="A485" s="88"/>
      <c r="B485" s="6"/>
      <c r="C485" s="6"/>
      <c r="D485" s="10"/>
      <c r="E485" s="54"/>
    </row>
    <row r="486" ht="15.75" customHeight="1">
      <c r="A486" s="88"/>
      <c r="B486" s="6"/>
      <c r="C486" s="6"/>
      <c r="D486" s="10"/>
      <c r="E486" s="54"/>
    </row>
    <row r="487" ht="15.75" customHeight="1">
      <c r="A487" s="88"/>
      <c r="B487" s="6"/>
      <c r="C487" s="6"/>
      <c r="D487" s="10"/>
      <c r="E487" s="54"/>
    </row>
    <row r="488" ht="15.75" customHeight="1">
      <c r="A488" s="88"/>
      <c r="B488" s="6"/>
      <c r="C488" s="6"/>
      <c r="D488" s="10"/>
      <c r="E488" s="54"/>
    </row>
    <row r="489" ht="15.75" customHeight="1">
      <c r="A489" s="88"/>
      <c r="B489" s="6"/>
      <c r="C489" s="6"/>
      <c r="D489" s="10"/>
      <c r="E489" s="54"/>
    </row>
    <row r="490" ht="15.75" customHeight="1">
      <c r="A490" s="88"/>
      <c r="B490" s="6"/>
      <c r="C490" s="6"/>
      <c r="D490" s="10"/>
      <c r="E490" s="54"/>
    </row>
    <row r="491" ht="15.75" customHeight="1">
      <c r="A491" s="88"/>
      <c r="B491" s="6"/>
      <c r="C491" s="6"/>
      <c r="D491" s="10"/>
      <c r="E491" s="54"/>
    </row>
    <row r="492" ht="15.75" customHeight="1">
      <c r="A492" s="88"/>
      <c r="B492" s="6"/>
      <c r="C492" s="6"/>
      <c r="D492" s="10"/>
      <c r="E492" s="54"/>
    </row>
    <row r="493" ht="15.75" customHeight="1">
      <c r="A493" s="88"/>
      <c r="B493" s="6"/>
      <c r="C493" s="6"/>
      <c r="D493" s="10"/>
      <c r="E493" s="54"/>
    </row>
    <row r="494" ht="15.75" customHeight="1">
      <c r="A494" s="88"/>
      <c r="B494" s="6"/>
      <c r="C494" s="6"/>
      <c r="D494" s="10"/>
      <c r="E494" s="54"/>
    </row>
    <row r="495" ht="15.75" customHeight="1">
      <c r="A495" s="88"/>
      <c r="B495" s="6"/>
      <c r="C495" s="6"/>
      <c r="D495" s="10"/>
      <c r="E495" s="54"/>
    </row>
    <row r="496" ht="15.75" customHeight="1">
      <c r="A496" s="88"/>
      <c r="B496" s="6"/>
      <c r="C496" s="6"/>
      <c r="D496" s="10"/>
      <c r="E496" s="54"/>
    </row>
    <row r="497" ht="15.75" customHeight="1">
      <c r="A497" s="88"/>
      <c r="B497" s="6"/>
      <c r="C497" s="6"/>
      <c r="D497" s="10"/>
      <c r="E497" s="54"/>
    </row>
    <row r="498" ht="15.75" customHeight="1">
      <c r="A498" s="88"/>
      <c r="B498" s="6"/>
      <c r="C498" s="6"/>
      <c r="D498" s="10"/>
      <c r="E498" s="54"/>
    </row>
    <row r="499" ht="15.75" customHeight="1">
      <c r="A499" s="88"/>
      <c r="B499" s="6"/>
      <c r="C499" s="6"/>
      <c r="D499" s="10"/>
      <c r="E499" s="54"/>
    </row>
    <row r="500" ht="15.75" customHeight="1">
      <c r="A500" s="88"/>
      <c r="B500" s="6"/>
      <c r="C500" s="6"/>
      <c r="D500" s="10"/>
      <c r="E500" s="54"/>
    </row>
    <row r="501" ht="15.75" customHeight="1">
      <c r="A501" s="88"/>
      <c r="B501" s="6"/>
      <c r="C501" s="6"/>
      <c r="D501" s="10"/>
      <c r="E501" s="54"/>
    </row>
    <row r="502" ht="15.75" customHeight="1">
      <c r="A502" s="88"/>
      <c r="B502" s="6"/>
      <c r="C502" s="6"/>
      <c r="D502" s="10"/>
      <c r="E502" s="54"/>
    </row>
    <row r="503" ht="15.75" customHeight="1">
      <c r="A503" s="88"/>
      <c r="B503" s="6"/>
      <c r="C503" s="6"/>
      <c r="D503" s="10"/>
      <c r="E503" s="54"/>
    </row>
    <row r="504" ht="15.75" customHeight="1">
      <c r="A504" s="88"/>
      <c r="B504" s="6"/>
      <c r="C504" s="6"/>
      <c r="D504" s="10"/>
      <c r="E504" s="54"/>
    </row>
    <row r="505" ht="15.75" customHeight="1">
      <c r="A505" s="88"/>
      <c r="B505" s="6"/>
      <c r="C505" s="6"/>
      <c r="D505" s="10"/>
      <c r="E505" s="54"/>
    </row>
    <row r="506" ht="15.75" customHeight="1">
      <c r="A506" s="88"/>
      <c r="B506" s="6"/>
      <c r="C506" s="6"/>
      <c r="D506" s="10"/>
      <c r="E506" s="54"/>
    </row>
    <row r="507" ht="15.75" customHeight="1">
      <c r="A507" s="88"/>
      <c r="B507" s="6"/>
      <c r="C507" s="6"/>
      <c r="D507" s="10"/>
      <c r="E507" s="54"/>
    </row>
    <row r="508" ht="15.75" customHeight="1">
      <c r="A508" s="88"/>
      <c r="B508" s="6"/>
      <c r="C508" s="6"/>
      <c r="D508" s="10"/>
      <c r="E508" s="54"/>
    </row>
    <row r="509" ht="15.75" customHeight="1">
      <c r="A509" s="88"/>
      <c r="B509" s="6"/>
      <c r="C509" s="6"/>
      <c r="D509" s="10"/>
      <c r="E509" s="54"/>
    </row>
    <row r="510" ht="15.75" customHeight="1">
      <c r="A510" s="88"/>
      <c r="B510" s="6"/>
      <c r="C510" s="6"/>
      <c r="D510" s="10"/>
      <c r="E510" s="54"/>
    </row>
    <row r="511" ht="15.75" customHeight="1">
      <c r="A511" s="88"/>
      <c r="B511" s="6"/>
      <c r="C511" s="6"/>
      <c r="D511" s="10"/>
      <c r="E511" s="54"/>
    </row>
    <row r="512" ht="15.75" customHeight="1">
      <c r="A512" s="88"/>
      <c r="B512" s="6"/>
      <c r="C512" s="6"/>
      <c r="D512" s="10"/>
      <c r="E512" s="54"/>
    </row>
    <row r="513" ht="15.75" customHeight="1">
      <c r="A513" s="88"/>
      <c r="B513" s="6"/>
      <c r="C513" s="6"/>
      <c r="D513" s="10"/>
      <c r="E513" s="54"/>
    </row>
    <row r="514" ht="15.75" customHeight="1">
      <c r="A514" s="88"/>
      <c r="B514" s="6"/>
      <c r="C514" s="6"/>
      <c r="D514" s="10"/>
      <c r="E514" s="54"/>
    </row>
    <row r="515" ht="15.75" customHeight="1">
      <c r="A515" s="88"/>
      <c r="B515" s="6"/>
      <c r="C515" s="6"/>
      <c r="D515" s="10"/>
      <c r="E515" s="54"/>
    </row>
    <row r="516" ht="15.75" customHeight="1">
      <c r="A516" s="88"/>
      <c r="B516" s="6"/>
      <c r="C516" s="6"/>
      <c r="D516" s="10"/>
      <c r="E516" s="54"/>
    </row>
    <row r="517" ht="15.75" customHeight="1">
      <c r="A517" s="88"/>
      <c r="B517" s="6"/>
      <c r="C517" s="6"/>
      <c r="D517" s="10"/>
      <c r="E517" s="54"/>
    </row>
    <row r="518" ht="15.75" customHeight="1">
      <c r="A518" s="88"/>
      <c r="B518" s="6"/>
      <c r="C518" s="6"/>
      <c r="D518" s="10"/>
      <c r="E518" s="54"/>
    </row>
    <row r="519" ht="15.75" customHeight="1">
      <c r="A519" s="88"/>
      <c r="B519" s="6"/>
      <c r="C519" s="6"/>
      <c r="D519" s="10"/>
      <c r="E519" s="54"/>
    </row>
    <row r="520" ht="15.75" customHeight="1">
      <c r="A520" s="88"/>
      <c r="B520" s="6"/>
      <c r="C520" s="6"/>
      <c r="D520" s="10"/>
      <c r="E520" s="54"/>
    </row>
    <row r="521" ht="15.75" customHeight="1">
      <c r="A521" s="88"/>
      <c r="B521" s="6"/>
      <c r="C521" s="6"/>
      <c r="D521" s="10"/>
      <c r="E521" s="54"/>
    </row>
    <row r="522" ht="15.75" customHeight="1">
      <c r="A522" s="88"/>
      <c r="B522" s="6"/>
      <c r="C522" s="6"/>
      <c r="D522" s="10"/>
      <c r="E522" s="54"/>
    </row>
    <row r="523" ht="15.75" customHeight="1">
      <c r="A523" s="88"/>
      <c r="B523" s="6"/>
      <c r="C523" s="6"/>
      <c r="D523" s="10"/>
      <c r="E523" s="54"/>
    </row>
    <row r="524" ht="15.75" customHeight="1">
      <c r="A524" s="88"/>
      <c r="B524" s="6"/>
      <c r="C524" s="6"/>
      <c r="D524" s="10"/>
      <c r="E524" s="54"/>
    </row>
    <row r="525" ht="15.75" customHeight="1">
      <c r="A525" s="88"/>
      <c r="B525" s="6"/>
      <c r="C525" s="6"/>
      <c r="D525" s="10"/>
      <c r="E525" s="54"/>
    </row>
    <row r="526" ht="15.75" customHeight="1">
      <c r="A526" s="88"/>
      <c r="B526" s="6"/>
      <c r="C526" s="6"/>
      <c r="D526" s="10"/>
      <c r="E526" s="54"/>
    </row>
    <row r="527" ht="15.75" customHeight="1">
      <c r="A527" s="88"/>
      <c r="B527" s="6"/>
      <c r="C527" s="6"/>
      <c r="D527" s="10"/>
      <c r="E527" s="54"/>
    </row>
    <row r="528" ht="15.75" customHeight="1">
      <c r="A528" s="88"/>
      <c r="B528" s="6"/>
      <c r="C528" s="6"/>
      <c r="D528" s="10"/>
      <c r="E528" s="54"/>
    </row>
    <row r="529" ht="15.75" customHeight="1">
      <c r="A529" s="88"/>
      <c r="B529" s="6"/>
      <c r="C529" s="6"/>
      <c r="D529" s="10"/>
      <c r="E529" s="54"/>
    </row>
    <row r="530" ht="15.75" customHeight="1">
      <c r="A530" s="88"/>
      <c r="B530" s="6"/>
      <c r="C530" s="6"/>
      <c r="D530" s="10"/>
      <c r="E530" s="54"/>
    </row>
    <row r="531" ht="15.75" customHeight="1">
      <c r="A531" s="88"/>
      <c r="B531" s="6"/>
      <c r="C531" s="6"/>
      <c r="D531" s="10"/>
      <c r="E531" s="54"/>
    </row>
    <row r="532" ht="15.75" customHeight="1">
      <c r="A532" s="88"/>
      <c r="B532" s="6"/>
      <c r="C532" s="6"/>
      <c r="D532" s="10"/>
      <c r="E532" s="54"/>
    </row>
    <row r="533" ht="15.75" customHeight="1">
      <c r="A533" s="88"/>
      <c r="B533" s="6"/>
      <c r="C533" s="6"/>
      <c r="D533" s="10"/>
      <c r="E533" s="54"/>
    </row>
    <row r="534" ht="15.75" customHeight="1">
      <c r="A534" s="88"/>
      <c r="B534" s="6"/>
      <c r="C534" s="6"/>
      <c r="D534" s="10"/>
      <c r="E534" s="54"/>
    </row>
    <row r="535" ht="15.75" customHeight="1">
      <c r="A535" s="88"/>
      <c r="B535" s="6"/>
      <c r="C535" s="6"/>
      <c r="D535" s="10"/>
      <c r="E535" s="54"/>
    </row>
    <row r="536" ht="15.75" customHeight="1">
      <c r="A536" s="88"/>
      <c r="B536" s="6"/>
      <c r="C536" s="6"/>
      <c r="D536" s="10"/>
      <c r="E536" s="54"/>
    </row>
    <row r="537" ht="15.75" customHeight="1">
      <c r="A537" s="88"/>
      <c r="B537" s="6"/>
      <c r="C537" s="6"/>
      <c r="D537" s="10"/>
      <c r="E537" s="54"/>
    </row>
    <row r="538" ht="15.75" customHeight="1">
      <c r="A538" s="88"/>
      <c r="B538" s="6"/>
      <c r="C538" s="6"/>
      <c r="D538" s="10"/>
      <c r="E538" s="54"/>
    </row>
    <row r="539" ht="15.75" customHeight="1">
      <c r="A539" s="88"/>
      <c r="B539" s="6"/>
      <c r="C539" s="6"/>
      <c r="D539" s="10"/>
      <c r="E539" s="54"/>
    </row>
    <row r="540" ht="15.75" customHeight="1">
      <c r="A540" s="88"/>
      <c r="B540" s="6"/>
      <c r="C540" s="6"/>
      <c r="D540" s="10"/>
      <c r="E540" s="54"/>
    </row>
    <row r="541" ht="15.75" customHeight="1">
      <c r="A541" s="88"/>
      <c r="B541" s="6"/>
      <c r="C541" s="6"/>
      <c r="D541" s="10"/>
      <c r="E541" s="54"/>
    </row>
    <row r="542" ht="15.75" customHeight="1">
      <c r="A542" s="88"/>
      <c r="B542" s="6"/>
      <c r="C542" s="6"/>
      <c r="D542" s="10"/>
      <c r="E542" s="54"/>
    </row>
    <row r="543" ht="15.75" customHeight="1">
      <c r="A543" s="88"/>
      <c r="B543" s="6"/>
      <c r="C543" s="6"/>
      <c r="D543" s="10"/>
      <c r="E543" s="54"/>
    </row>
    <row r="544" ht="15.75" customHeight="1">
      <c r="A544" s="88"/>
      <c r="B544" s="6"/>
      <c r="C544" s="6"/>
      <c r="D544" s="10"/>
      <c r="E544" s="54"/>
    </row>
    <row r="545" ht="15.75" customHeight="1">
      <c r="A545" s="88"/>
      <c r="B545" s="6"/>
      <c r="C545" s="6"/>
      <c r="D545" s="10"/>
      <c r="E545" s="54"/>
    </row>
    <row r="546" ht="15.75" customHeight="1">
      <c r="A546" s="88"/>
      <c r="B546" s="6"/>
      <c r="C546" s="6"/>
      <c r="D546" s="10"/>
      <c r="E546" s="54"/>
    </row>
    <row r="547" ht="15.75" customHeight="1">
      <c r="A547" s="88"/>
      <c r="B547" s="6"/>
      <c r="C547" s="6"/>
      <c r="D547" s="10"/>
      <c r="E547" s="54"/>
    </row>
    <row r="548" ht="15.75" customHeight="1">
      <c r="A548" s="88"/>
      <c r="B548" s="6"/>
      <c r="C548" s="6"/>
      <c r="D548" s="10"/>
      <c r="E548" s="54"/>
    </row>
    <row r="549" ht="15.75" customHeight="1">
      <c r="A549" s="88"/>
      <c r="B549" s="6"/>
      <c r="C549" s="6"/>
      <c r="D549" s="10"/>
      <c r="E549" s="54"/>
    </row>
    <row r="550" ht="15.75" customHeight="1">
      <c r="A550" s="88"/>
      <c r="B550" s="6"/>
      <c r="C550" s="6"/>
      <c r="D550" s="10"/>
      <c r="E550" s="54"/>
    </row>
    <row r="551" ht="15.75" customHeight="1">
      <c r="A551" s="88"/>
      <c r="B551" s="6"/>
      <c r="C551" s="6"/>
      <c r="D551" s="10"/>
      <c r="E551" s="54"/>
    </row>
    <row r="552" ht="15.75" customHeight="1">
      <c r="A552" s="88"/>
      <c r="B552" s="6"/>
      <c r="C552" s="6"/>
      <c r="D552" s="10"/>
      <c r="E552" s="54"/>
    </row>
    <row r="553" ht="15.75" customHeight="1">
      <c r="A553" s="88"/>
      <c r="B553" s="6"/>
      <c r="C553" s="6"/>
      <c r="D553" s="10"/>
      <c r="E553" s="54"/>
    </row>
    <row r="554" ht="15.75" customHeight="1">
      <c r="A554" s="88"/>
      <c r="B554" s="6"/>
      <c r="C554" s="6"/>
      <c r="D554" s="10"/>
      <c r="E554" s="54"/>
    </row>
    <row r="555" ht="15.75" customHeight="1">
      <c r="A555" s="88"/>
      <c r="B555" s="6"/>
      <c r="C555" s="6"/>
      <c r="D555" s="10"/>
      <c r="E555" s="54"/>
    </row>
    <row r="556" ht="15.75" customHeight="1">
      <c r="A556" s="88"/>
      <c r="B556" s="6"/>
      <c r="C556" s="6"/>
      <c r="D556" s="10"/>
      <c r="E556" s="54"/>
    </row>
    <row r="557" ht="15.75" customHeight="1">
      <c r="A557" s="88"/>
      <c r="B557" s="6"/>
      <c r="C557" s="6"/>
      <c r="D557" s="10"/>
      <c r="E557" s="54"/>
    </row>
    <row r="558" ht="15.75" customHeight="1">
      <c r="A558" s="88"/>
      <c r="B558" s="6"/>
      <c r="C558" s="6"/>
      <c r="D558" s="10"/>
      <c r="E558" s="54"/>
    </row>
    <row r="559" ht="15.75" customHeight="1">
      <c r="A559" s="88"/>
      <c r="B559" s="6"/>
      <c r="C559" s="6"/>
      <c r="D559" s="10"/>
      <c r="E559" s="54"/>
    </row>
    <row r="560" ht="15.75" customHeight="1">
      <c r="A560" s="88"/>
      <c r="B560" s="6"/>
      <c r="C560" s="6"/>
      <c r="D560" s="10"/>
      <c r="E560" s="54"/>
    </row>
    <row r="561" ht="15.75" customHeight="1">
      <c r="A561" s="88"/>
      <c r="B561" s="6"/>
      <c r="C561" s="6"/>
      <c r="D561" s="10"/>
      <c r="E561" s="54"/>
    </row>
    <row r="562" ht="15.75" customHeight="1">
      <c r="A562" s="88"/>
      <c r="B562" s="6"/>
      <c r="C562" s="6"/>
      <c r="D562" s="10"/>
      <c r="E562" s="54"/>
    </row>
    <row r="563" ht="15.75" customHeight="1">
      <c r="A563" s="88"/>
      <c r="B563" s="6"/>
      <c r="C563" s="6"/>
      <c r="D563" s="10"/>
      <c r="E563" s="54"/>
    </row>
    <row r="564" ht="15.75" customHeight="1">
      <c r="A564" s="88"/>
      <c r="B564" s="6"/>
      <c r="C564" s="6"/>
      <c r="D564" s="10"/>
      <c r="E564" s="54"/>
    </row>
    <row r="565" ht="15.75" customHeight="1">
      <c r="A565" s="88"/>
      <c r="B565" s="6"/>
      <c r="C565" s="6"/>
      <c r="D565" s="10"/>
      <c r="E565" s="54"/>
    </row>
    <row r="566" ht="15.75" customHeight="1">
      <c r="A566" s="88"/>
      <c r="B566" s="6"/>
      <c r="C566" s="6"/>
      <c r="D566" s="10"/>
      <c r="E566" s="54"/>
    </row>
    <row r="567" ht="15.75" customHeight="1">
      <c r="A567" s="88"/>
      <c r="B567" s="6"/>
      <c r="C567" s="6"/>
      <c r="D567" s="10"/>
      <c r="E567" s="54"/>
    </row>
    <row r="568" ht="15.75" customHeight="1">
      <c r="A568" s="88"/>
      <c r="B568" s="6"/>
      <c r="C568" s="6"/>
      <c r="D568" s="10"/>
      <c r="E568" s="54"/>
    </row>
    <row r="569" ht="15.75" customHeight="1">
      <c r="A569" s="88"/>
      <c r="B569" s="6"/>
      <c r="C569" s="6"/>
      <c r="D569" s="10"/>
      <c r="E569" s="54"/>
    </row>
    <row r="570" ht="15.75" customHeight="1">
      <c r="A570" s="88"/>
      <c r="B570" s="6"/>
      <c r="C570" s="6"/>
      <c r="D570" s="10"/>
      <c r="E570" s="54"/>
    </row>
    <row r="571" ht="15.75" customHeight="1">
      <c r="A571" s="88"/>
      <c r="B571" s="6"/>
      <c r="C571" s="6"/>
      <c r="D571" s="10"/>
      <c r="E571" s="54"/>
    </row>
    <row r="572" ht="15.75" customHeight="1">
      <c r="A572" s="88"/>
      <c r="B572" s="6"/>
      <c r="C572" s="6"/>
      <c r="D572" s="10"/>
      <c r="E572" s="54"/>
    </row>
    <row r="573" ht="15.75" customHeight="1">
      <c r="A573" s="88"/>
      <c r="B573" s="6"/>
      <c r="C573" s="6"/>
      <c r="D573" s="10"/>
      <c r="E573" s="54"/>
    </row>
    <row r="574" ht="15.75" customHeight="1">
      <c r="A574" s="88"/>
      <c r="B574" s="6"/>
      <c r="C574" s="6"/>
      <c r="D574" s="10"/>
      <c r="E574" s="54"/>
    </row>
    <row r="575" ht="15.75" customHeight="1">
      <c r="A575" s="88"/>
      <c r="B575" s="6"/>
      <c r="C575" s="6"/>
      <c r="D575" s="10"/>
      <c r="E575" s="54"/>
    </row>
    <row r="576" ht="15.75" customHeight="1">
      <c r="A576" s="88"/>
      <c r="B576" s="6"/>
      <c r="C576" s="6"/>
      <c r="D576" s="10"/>
      <c r="E576" s="54"/>
    </row>
    <row r="577" ht="15.75" customHeight="1">
      <c r="A577" s="88"/>
      <c r="B577" s="6"/>
      <c r="C577" s="6"/>
      <c r="D577" s="10"/>
      <c r="E577" s="54"/>
    </row>
    <row r="578" ht="15.75" customHeight="1">
      <c r="A578" s="88"/>
      <c r="B578" s="6"/>
      <c r="C578" s="6"/>
      <c r="D578" s="10"/>
      <c r="E578" s="54"/>
    </row>
    <row r="579" ht="15.75" customHeight="1">
      <c r="A579" s="88"/>
      <c r="B579" s="6"/>
      <c r="C579" s="6"/>
      <c r="D579" s="10"/>
      <c r="E579" s="54"/>
    </row>
    <row r="580" ht="15.75" customHeight="1">
      <c r="A580" s="88"/>
      <c r="B580" s="6"/>
      <c r="C580" s="6"/>
      <c r="D580" s="10"/>
      <c r="E580" s="54"/>
    </row>
    <row r="581" ht="15.75" customHeight="1">
      <c r="A581" s="88"/>
      <c r="B581" s="6"/>
      <c r="C581" s="6"/>
      <c r="D581" s="10"/>
      <c r="E581" s="54"/>
    </row>
    <row r="582" ht="15.75" customHeight="1">
      <c r="A582" s="88"/>
      <c r="B582" s="6"/>
      <c r="C582" s="6"/>
      <c r="D582" s="10"/>
      <c r="E582" s="54"/>
    </row>
    <row r="583" ht="15.75" customHeight="1">
      <c r="A583" s="88"/>
      <c r="B583" s="6"/>
      <c r="C583" s="6"/>
      <c r="D583" s="10"/>
      <c r="E583" s="54"/>
    </row>
    <row r="584" ht="15.75" customHeight="1">
      <c r="A584" s="88"/>
      <c r="B584" s="6"/>
      <c r="C584" s="6"/>
      <c r="D584" s="10"/>
      <c r="E584" s="54"/>
    </row>
    <row r="585" ht="15.75" customHeight="1">
      <c r="A585" s="88"/>
      <c r="B585" s="6"/>
      <c r="C585" s="6"/>
      <c r="D585" s="10"/>
      <c r="E585" s="54"/>
    </row>
    <row r="586" ht="15.75" customHeight="1">
      <c r="A586" s="88"/>
      <c r="B586" s="6"/>
      <c r="C586" s="6"/>
      <c r="D586" s="10"/>
      <c r="E586" s="54"/>
    </row>
    <row r="587" ht="15.75" customHeight="1">
      <c r="A587" s="88"/>
      <c r="B587" s="6"/>
      <c r="C587" s="6"/>
      <c r="D587" s="10"/>
      <c r="E587" s="54"/>
    </row>
    <row r="588" ht="15.75" customHeight="1">
      <c r="A588" s="88"/>
      <c r="B588" s="6"/>
      <c r="C588" s="6"/>
      <c r="D588" s="10"/>
      <c r="E588" s="54"/>
    </row>
    <row r="589" ht="15.75" customHeight="1">
      <c r="A589" s="88"/>
      <c r="B589" s="6"/>
      <c r="C589" s="6"/>
      <c r="D589" s="10"/>
      <c r="E589" s="54"/>
    </row>
    <row r="590" ht="15.75" customHeight="1">
      <c r="A590" s="88"/>
      <c r="B590" s="6"/>
      <c r="C590" s="6"/>
      <c r="D590" s="10"/>
      <c r="E590" s="54"/>
    </row>
    <row r="591" ht="15.75" customHeight="1">
      <c r="A591" s="88"/>
      <c r="B591" s="6"/>
      <c r="C591" s="6"/>
      <c r="D591" s="10"/>
      <c r="E591" s="54"/>
    </row>
    <row r="592" ht="15.75" customHeight="1">
      <c r="A592" s="88"/>
      <c r="B592" s="6"/>
      <c r="C592" s="6"/>
      <c r="D592" s="10"/>
      <c r="E592" s="54"/>
    </row>
    <row r="593" ht="15.75" customHeight="1">
      <c r="A593" s="88"/>
      <c r="B593" s="6"/>
      <c r="C593" s="6"/>
      <c r="D593" s="10"/>
      <c r="E593" s="54"/>
    </row>
    <row r="594" ht="15.75" customHeight="1">
      <c r="A594" s="88"/>
      <c r="B594" s="6"/>
      <c r="C594" s="6"/>
      <c r="D594" s="10"/>
      <c r="E594" s="54"/>
    </row>
    <row r="595" ht="15.75" customHeight="1">
      <c r="A595" s="88"/>
      <c r="B595" s="6"/>
      <c r="C595" s="6"/>
      <c r="D595" s="10"/>
      <c r="E595" s="54"/>
    </row>
    <row r="596" ht="15.75" customHeight="1">
      <c r="A596" s="88"/>
      <c r="B596" s="6"/>
      <c r="C596" s="6"/>
      <c r="D596" s="10"/>
      <c r="E596" s="54"/>
    </row>
    <row r="597" ht="15.75" customHeight="1">
      <c r="A597" s="88"/>
      <c r="B597" s="6"/>
      <c r="C597" s="6"/>
      <c r="D597" s="10"/>
      <c r="E597" s="54"/>
    </row>
    <row r="598" ht="15.75" customHeight="1">
      <c r="A598" s="88"/>
      <c r="B598" s="6"/>
      <c r="C598" s="6"/>
      <c r="D598" s="10"/>
      <c r="E598" s="54"/>
    </row>
    <row r="599" ht="15.75" customHeight="1">
      <c r="A599" s="88"/>
      <c r="B599" s="6"/>
      <c r="C599" s="6"/>
      <c r="D599" s="10"/>
      <c r="E599" s="54"/>
    </row>
    <row r="600" ht="15.75" customHeight="1">
      <c r="A600" s="88"/>
      <c r="B600" s="6"/>
      <c r="C600" s="6"/>
      <c r="D600" s="10"/>
      <c r="E600" s="54"/>
    </row>
    <row r="601" ht="15.75" customHeight="1">
      <c r="A601" s="88"/>
      <c r="B601" s="6"/>
      <c r="C601" s="6"/>
      <c r="D601" s="10"/>
      <c r="E601" s="54"/>
    </row>
    <row r="602" ht="15.75" customHeight="1">
      <c r="A602" s="88"/>
      <c r="B602" s="6"/>
      <c r="C602" s="6"/>
      <c r="D602" s="10"/>
      <c r="E602" s="54"/>
    </row>
    <row r="603" ht="15.75" customHeight="1">
      <c r="A603" s="88"/>
      <c r="B603" s="6"/>
      <c r="C603" s="6"/>
      <c r="D603" s="10"/>
      <c r="E603" s="54"/>
    </row>
    <row r="604" ht="15.75" customHeight="1">
      <c r="A604" s="88"/>
      <c r="B604" s="6"/>
      <c r="C604" s="6"/>
      <c r="D604" s="10"/>
      <c r="E604" s="54"/>
    </row>
    <row r="605" ht="15.75" customHeight="1">
      <c r="A605" s="88"/>
      <c r="B605" s="6"/>
      <c r="C605" s="6"/>
      <c r="D605" s="10"/>
      <c r="E605" s="54"/>
    </row>
    <row r="606" ht="15.75" customHeight="1">
      <c r="A606" s="88"/>
      <c r="B606" s="6"/>
      <c r="C606" s="6"/>
      <c r="D606" s="10"/>
      <c r="E606" s="54"/>
    </row>
    <row r="607" ht="15.75" customHeight="1">
      <c r="A607" s="88"/>
      <c r="B607" s="6"/>
      <c r="C607" s="6"/>
      <c r="D607" s="10"/>
      <c r="E607" s="54"/>
    </row>
    <row r="608" ht="15.75" customHeight="1">
      <c r="A608" s="88"/>
      <c r="B608" s="6"/>
      <c r="C608" s="6"/>
      <c r="D608" s="10"/>
      <c r="E608" s="54"/>
    </row>
    <row r="609" ht="15.75" customHeight="1">
      <c r="A609" s="88"/>
      <c r="B609" s="6"/>
      <c r="C609" s="6"/>
      <c r="D609" s="10"/>
      <c r="E609" s="54"/>
    </row>
    <row r="610" ht="15.75" customHeight="1">
      <c r="A610" s="88"/>
      <c r="B610" s="6"/>
      <c r="C610" s="6"/>
      <c r="D610" s="10"/>
      <c r="E610" s="54"/>
    </row>
    <row r="611" ht="15.75" customHeight="1">
      <c r="A611" s="88"/>
      <c r="B611" s="6"/>
      <c r="C611" s="6"/>
      <c r="D611" s="10"/>
      <c r="E611" s="54"/>
    </row>
    <row r="612" ht="15.75" customHeight="1">
      <c r="A612" s="88"/>
      <c r="B612" s="6"/>
      <c r="C612" s="6"/>
      <c r="D612" s="10"/>
      <c r="E612" s="54"/>
    </row>
    <row r="613" ht="15.75" customHeight="1">
      <c r="A613" s="88"/>
      <c r="B613" s="6"/>
      <c r="C613" s="6"/>
      <c r="D613" s="10"/>
      <c r="E613" s="54"/>
    </row>
    <row r="614" ht="15.75" customHeight="1">
      <c r="A614" s="88"/>
      <c r="B614" s="6"/>
      <c r="C614" s="6"/>
      <c r="D614" s="10"/>
      <c r="E614" s="54"/>
    </row>
    <row r="615" ht="15.75" customHeight="1">
      <c r="A615" s="88"/>
      <c r="B615" s="6"/>
      <c r="C615" s="6"/>
      <c r="D615" s="10"/>
      <c r="E615" s="54"/>
    </row>
    <row r="616" ht="15.75" customHeight="1">
      <c r="A616" s="88"/>
      <c r="B616" s="6"/>
      <c r="C616" s="6"/>
      <c r="D616" s="10"/>
      <c r="E616" s="54"/>
    </row>
    <row r="617" ht="15.75" customHeight="1">
      <c r="A617" s="88"/>
      <c r="B617" s="6"/>
      <c r="C617" s="6"/>
      <c r="D617" s="10"/>
      <c r="E617" s="54"/>
    </row>
    <row r="618" ht="15.75" customHeight="1">
      <c r="A618" s="88"/>
      <c r="B618" s="6"/>
      <c r="C618" s="6"/>
      <c r="D618" s="10"/>
      <c r="E618" s="54"/>
    </row>
    <row r="619" ht="15.75" customHeight="1">
      <c r="A619" s="88"/>
      <c r="B619" s="6"/>
      <c r="C619" s="6"/>
      <c r="D619" s="10"/>
      <c r="E619" s="54"/>
    </row>
    <row r="620" ht="15.75" customHeight="1">
      <c r="A620" s="88"/>
      <c r="B620" s="6"/>
      <c r="C620" s="6"/>
      <c r="D620" s="10"/>
      <c r="E620" s="54"/>
    </row>
    <row r="621" ht="15.75" customHeight="1">
      <c r="A621" s="88"/>
      <c r="B621" s="6"/>
      <c r="C621" s="6"/>
      <c r="D621" s="10"/>
      <c r="E621" s="54"/>
    </row>
    <row r="622" ht="15.75" customHeight="1">
      <c r="A622" s="88"/>
      <c r="B622" s="6"/>
      <c r="C622" s="6"/>
      <c r="D622" s="10"/>
      <c r="E622" s="54"/>
    </row>
    <row r="623" ht="15.75" customHeight="1">
      <c r="A623" s="88"/>
      <c r="B623" s="6"/>
      <c r="C623" s="6"/>
      <c r="D623" s="10"/>
      <c r="E623" s="54"/>
    </row>
    <row r="624" ht="15.75" customHeight="1">
      <c r="A624" s="88"/>
      <c r="B624" s="6"/>
      <c r="C624" s="6"/>
      <c r="D624" s="10"/>
      <c r="E624" s="54"/>
    </row>
    <row r="625" ht="15.75" customHeight="1">
      <c r="A625" s="88"/>
      <c r="B625" s="6"/>
      <c r="C625" s="6"/>
      <c r="D625" s="10"/>
      <c r="E625" s="54"/>
    </row>
    <row r="626" ht="15.75" customHeight="1">
      <c r="A626" s="88"/>
      <c r="B626" s="6"/>
      <c r="C626" s="6"/>
      <c r="D626" s="10"/>
      <c r="E626" s="54"/>
    </row>
    <row r="627" ht="15.75" customHeight="1">
      <c r="A627" s="88"/>
      <c r="B627" s="6"/>
      <c r="C627" s="6"/>
      <c r="D627" s="10"/>
      <c r="E627" s="54"/>
    </row>
    <row r="628" ht="15.75" customHeight="1">
      <c r="A628" s="88"/>
      <c r="B628" s="6"/>
      <c r="C628" s="6"/>
      <c r="D628" s="10"/>
      <c r="E628" s="54"/>
    </row>
    <row r="629" ht="15.75" customHeight="1">
      <c r="A629" s="88"/>
      <c r="B629" s="6"/>
      <c r="C629" s="6"/>
      <c r="D629" s="10"/>
      <c r="E629" s="54"/>
    </row>
    <row r="630" ht="15.75" customHeight="1">
      <c r="A630" s="88"/>
      <c r="B630" s="6"/>
      <c r="C630" s="6"/>
      <c r="D630" s="10"/>
      <c r="E630" s="54"/>
    </row>
    <row r="631" ht="15.75" customHeight="1">
      <c r="A631" s="88"/>
      <c r="B631" s="6"/>
      <c r="C631" s="6"/>
      <c r="D631" s="10"/>
      <c r="E631" s="54"/>
    </row>
    <row r="632" ht="15.75" customHeight="1">
      <c r="A632" s="88"/>
      <c r="B632" s="6"/>
      <c r="C632" s="6"/>
      <c r="D632" s="10"/>
      <c r="E632" s="54"/>
    </row>
    <row r="633" ht="15.75" customHeight="1">
      <c r="A633" s="88"/>
      <c r="B633" s="6"/>
      <c r="C633" s="6"/>
      <c r="D633" s="10"/>
      <c r="E633" s="54"/>
    </row>
    <row r="634" ht="15.75" customHeight="1">
      <c r="A634" s="88"/>
      <c r="B634" s="6"/>
      <c r="C634" s="6"/>
      <c r="D634" s="10"/>
      <c r="E634" s="54"/>
    </row>
    <row r="635" ht="15.75" customHeight="1">
      <c r="A635" s="88"/>
      <c r="B635" s="6"/>
      <c r="C635" s="6"/>
      <c r="D635" s="10"/>
      <c r="E635" s="54"/>
    </row>
    <row r="636" ht="15.75" customHeight="1">
      <c r="A636" s="88"/>
      <c r="B636" s="6"/>
      <c r="C636" s="6"/>
      <c r="D636" s="10"/>
      <c r="E636" s="54"/>
    </row>
    <row r="637" ht="15.75" customHeight="1">
      <c r="A637" s="88"/>
      <c r="B637" s="6"/>
      <c r="C637" s="6"/>
      <c r="D637" s="10"/>
      <c r="E637" s="54"/>
    </row>
    <row r="638" ht="15.75" customHeight="1">
      <c r="A638" s="88"/>
      <c r="B638" s="6"/>
      <c r="C638" s="6"/>
      <c r="D638" s="10"/>
      <c r="E638" s="54"/>
    </row>
    <row r="639" ht="15.75" customHeight="1">
      <c r="A639" s="88"/>
      <c r="B639" s="6"/>
      <c r="C639" s="6"/>
      <c r="D639" s="10"/>
      <c r="E639" s="54"/>
    </row>
    <row r="640" ht="15.75" customHeight="1">
      <c r="A640" s="88"/>
      <c r="B640" s="6"/>
      <c r="C640" s="6"/>
      <c r="D640" s="10"/>
      <c r="E640" s="54"/>
    </row>
    <row r="641" ht="15.75" customHeight="1">
      <c r="A641" s="88"/>
      <c r="B641" s="6"/>
      <c r="C641" s="6"/>
      <c r="D641" s="10"/>
      <c r="E641" s="54"/>
    </row>
    <row r="642" ht="15.75" customHeight="1">
      <c r="A642" s="88"/>
      <c r="B642" s="6"/>
      <c r="C642" s="6"/>
      <c r="D642" s="10"/>
      <c r="E642" s="54"/>
    </row>
    <row r="643" ht="15.75" customHeight="1">
      <c r="A643" s="88"/>
      <c r="B643" s="6"/>
      <c r="C643" s="6"/>
      <c r="D643" s="10"/>
      <c r="E643" s="54"/>
    </row>
    <row r="644" ht="15.75" customHeight="1">
      <c r="A644" s="88"/>
      <c r="B644" s="6"/>
      <c r="C644" s="6"/>
      <c r="D644" s="10"/>
      <c r="E644" s="54"/>
    </row>
    <row r="645" ht="15.75" customHeight="1">
      <c r="A645" s="88"/>
      <c r="B645" s="6"/>
      <c r="C645" s="6"/>
      <c r="D645" s="10"/>
      <c r="E645" s="54"/>
    </row>
    <row r="646" ht="15.75" customHeight="1">
      <c r="A646" s="88"/>
      <c r="B646" s="6"/>
      <c r="C646" s="6"/>
      <c r="D646" s="10"/>
      <c r="E646" s="54"/>
    </row>
    <row r="647" ht="15.75" customHeight="1">
      <c r="A647" s="88"/>
      <c r="B647" s="6"/>
      <c r="C647" s="6"/>
      <c r="D647" s="10"/>
      <c r="E647" s="54"/>
    </row>
    <row r="648" ht="15.75" customHeight="1">
      <c r="A648" s="88"/>
      <c r="B648" s="6"/>
      <c r="C648" s="6"/>
      <c r="D648" s="10"/>
      <c r="E648" s="54"/>
    </row>
    <row r="649" ht="15.75" customHeight="1">
      <c r="A649" s="88"/>
      <c r="B649" s="6"/>
      <c r="C649" s="6"/>
      <c r="D649" s="10"/>
      <c r="E649" s="54"/>
    </row>
    <row r="650" ht="15.75" customHeight="1">
      <c r="A650" s="88"/>
      <c r="B650" s="6"/>
      <c r="C650" s="6"/>
      <c r="D650" s="10"/>
      <c r="E650" s="54"/>
    </row>
    <row r="651" ht="15.75" customHeight="1">
      <c r="A651" s="88"/>
      <c r="B651" s="6"/>
      <c r="C651" s="6"/>
      <c r="D651" s="10"/>
      <c r="E651" s="54"/>
    </row>
    <row r="652" ht="15.75" customHeight="1">
      <c r="A652" s="88"/>
      <c r="B652" s="6"/>
      <c r="C652" s="6"/>
      <c r="D652" s="10"/>
      <c r="E652" s="54"/>
    </row>
    <row r="653" ht="15.75" customHeight="1">
      <c r="A653" s="88"/>
      <c r="B653" s="6"/>
      <c r="C653" s="6"/>
      <c r="D653" s="10"/>
      <c r="E653" s="54"/>
    </row>
    <row r="654" ht="15.75" customHeight="1">
      <c r="A654" s="88"/>
      <c r="B654" s="6"/>
      <c r="C654" s="6"/>
      <c r="D654" s="10"/>
      <c r="E654" s="54"/>
    </row>
    <row r="655" ht="15.75" customHeight="1">
      <c r="A655" s="88"/>
      <c r="B655" s="6"/>
      <c r="C655" s="6"/>
      <c r="D655" s="10"/>
      <c r="E655" s="54"/>
    </row>
    <row r="656" ht="15.75" customHeight="1">
      <c r="A656" s="88"/>
      <c r="B656" s="6"/>
      <c r="C656" s="6"/>
      <c r="D656" s="10"/>
      <c r="E656" s="54"/>
    </row>
    <row r="657" ht="15.75" customHeight="1">
      <c r="A657" s="88"/>
      <c r="B657" s="6"/>
      <c r="C657" s="6"/>
      <c r="D657" s="10"/>
      <c r="E657" s="54"/>
    </row>
    <row r="658" ht="15.75" customHeight="1">
      <c r="A658" s="88"/>
      <c r="B658" s="6"/>
      <c r="C658" s="6"/>
      <c r="D658" s="10"/>
      <c r="E658" s="54"/>
    </row>
    <row r="659" ht="15.75" customHeight="1">
      <c r="A659" s="88"/>
      <c r="B659" s="6"/>
      <c r="C659" s="6"/>
      <c r="D659" s="10"/>
      <c r="E659" s="54"/>
    </row>
    <row r="660" ht="15.75" customHeight="1">
      <c r="A660" s="88"/>
      <c r="B660" s="6"/>
      <c r="C660" s="6"/>
      <c r="D660" s="10"/>
      <c r="E660" s="54"/>
    </row>
    <row r="661" ht="15.75" customHeight="1">
      <c r="A661" s="88"/>
      <c r="B661" s="6"/>
      <c r="C661" s="6"/>
      <c r="D661" s="10"/>
      <c r="E661" s="54"/>
    </row>
    <row r="662" ht="15.75" customHeight="1">
      <c r="A662" s="88"/>
      <c r="B662" s="6"/>
      <c r="C662" s="6"/>
      <c r="D662" s="10"/>
      <c r="E662" s="54"/>
    </row>
    <row r="663" ht="15.75" customHeight="1">
      <c r="A663" s="88"/>
      <c r="B663" s="6"/>
      <c r="C663" s="6"/>
      <c r="D663" s="10"/>
      <c r="E663" s="54"/>
    </row>
    <row r="664" ht="15.75" customHeight="1">
      <c r="A664" s="88"/>
      <c r="B664" s="6"/>
      <c r="C664" s="6"/>
      <c r="D664" s="10"/>
      <c r="E664" s="54"/>
    </row>
    <row r="665" ht="15.75" customHeight="1">
      <c r="A665" s="88"/>
      <c r="B665" s="6"/>
      <c r="C665" s="6"/>
      <c r="D665" s="10"/>
      <c r="E665" s="54"/>
    </row>
    <row r="666" ht="15.75" customHeight="1">
      <c r="A666" s="88"/>
      <c r="B666" s="6"/>
      <c r="C666" s="6"/>
      <c r="D666" s="10"/>
      <c r="E666" s="54"/>
    </row>
    <row r="667" ht="15.75" customHeight="1">
      <c r="A667" s="88"/>
      <c r="B667" s="6"/>
      <c r="C667" s="6"/>
      <c r="D667" s="10"/>
      <c r="E667" s="54"/>
    </row>
    <row r="668" ht="15.75" customHeight="1">
      <c r="A668" s="88"/>
      <c r="B668" s="6"/>
      <c r="C668" s="6"/>
      <c r="D668" s="10"/>
      <c r="E668" s="54"/>
    </row>
    <row r="669" ht="15.75" customHeight="1">
      <c r="A669" s="88"/>
      <c r="B669" s="6"/>
      <c r="C669" s="6"/>
      <c r="D669" s="10"/>
      <c r="E669" s="54"/>
    </row>
    <row r="670" ht="15.75" customHeight="1">
      <c r="A670" s="88"/>
      <c r="B670" s="6"/>
      <c r="C670" s="6"/>
      <c r="D670" s="10"/>
      <c r="E670" s="54"/>
    </row>
    <row r="671" ht="15.75" customHeight="1">
      <c r="A671" s="88"/>
      <c r="B671" s="6"/>
      <c r="C671" s="6"/>
      <c r="D671" s="10"/>
      <c r="E671" s="54"/>
    </row>
    <row r="672" ht="15.75" customHeight="1">
      <c r="A672" s="88"/>
      <c r="B672" s="6"/>
      <c r="C672" s="6"/>
      <c r="D672" s="10"/>
      <c r="E672" s="54"/>
    </row>
    <row r="673" ht="15.75" customHeight="1">
      <c r="A673" s="88"/>
      <c r="B673" s="6"/>
      <c r="C673" s="6"/>
      <c r="D673" s="10"/>
      <c r="E673" s="54"/>
    </row>
    <row r="674" ht="15.75" customHeight="1">
      <c r="A674" s="88"/>
      <c r="B674" s="6"/>
      <c r="C674" s="6"/>
      <c r="D674" s="10"/>
      <c r="E674" s="54"/>
    </row>
    <row r="675" ht="15.75" customHeight="1">
      <c r="A675" s="88"/>
      <c r="B675" s="6"/>
      <c r="C675" s="6"/>
      <c r="D675" s="10"/>
      <c r="E675" s="54"/>
    </row>
    <row r="676" ht="15.75" customHeight="1">
      <c r="A676" s="88"/>
      <c r="B676" s="6"/>
      <c r="C676" s="6"/>
      <c r="D676" s="10"/>
      <c r="E676" s="54"/>
    </row>
    <row r="677" ht="15.75" customHeight="1">
      <c r="A677" s="88"/>
      <c r="B677" s="6"/>
      <c r="C677" s="6"/>
      <c r="D677" s="10"/>
      <c r="E677" s="54"/>
    </row>
    <row r="678" ht="15.75" customHeight="1">
      <c r="A678" s="88"/>
      <c r="B678" s="6"/>
      <c r="C678" s="6"/>
      <c r="D678" s="10"/>
      <c r="E678" s="54"/>
    </row>
    <row r="679" ht="15.75" customHeight="1">
      <c r="A679" s="88"/>
      <c r="B679" s="6"/>
      <c r="C679" s="6"/>
      <c r="D679" s="10"/>
      <c r="E679" s="54"/>
    </row>
    <row r="680" ht="15.75" customHeight="1">
      <c r="A680" s="88"/>
      <c r="B680" s="6"/>
      <c r="C680" s="6"/>
      <c r="D680" s="10"/>
      <c r="E680" s="54"/>
    </row>
    <row r="681" ht="15.75" customHeight="1">
      <c r="A681" s="88"/>
      <c r="B681" s="6"/>
      <c r="C681" s="6"/>
      <c r="D681" s="10"/>
      <c r="E681" s="54"/>
    </row>
    <row r="682" ht="15.75" customHeight="1">
      <c r="A682" s="88"/>
      <c r="B682" s="6"/>
      <c r="C682" s="6"/>
      <c r="D682" s="10"/>
      <c r="E682" s="54"/>
    </row>
    <row r="683" ht="15.75" customHeight="1">
      <c r="A683" s="88"/>
      <c r="B683" s="6"/>
      <c r="C683" s="6"/>
      <c r="D683" s="10"/>
      <c r="E683" s="54"/>
    </row>
    <row r="684" ht="15.75" customHeight="1">
      <c r="A684" s="88"/>
      <c r="B684" s="6"/>
      <c r="C684" s="6"/>
      <c r="D684" s="10"/>
      <c r="E684" s="54"/>
    </row>
    <row r="685" ht="15.75" customHeight="1">
      <c r="A685" s="88"/>
      <c r="B685" s="6"/>
      <c r="C685" s="6"/>
      <c r="D685" s="10"/>
      <c r="E685" s="54"/>
    </row>
    <row r="686" ht="15.75" customHeight="1">
      <c r="A686" s="88"/>
      <c r="B686" s="6"/>
      <c r="C686" s="6"/>
      <c r="D686" s="10"/>
      <c r="E686" s="54"/>
    </row>
    <row r="687" ht="15.75" customHeight="1">
      <c r="A687" s="88"/>
      <c r="B687" s="6"/>
      <c r="C687" s="6"/>
      <c r="D687" s="10"/>
      <c r="E687" s="54"/>
    </row>
    <row r="688" ht="15.75" customHeight="1">
      <c r="A688" s="88"/>
      <c r="B688" s="6"/>
      <c r="C688" s="6"/>
      <c r="D688" s="10"/>
      <c r="E688" s="54"/>
    </row>
    <row r="689" ht="15.75" customHeight="1">
      <c r="A689" s="88"/>
      <c r="B689" s="6"/>
      <c r="C689" s="6"/>
      <c r="D689" s="10"/>
      <c r="E689" s="54"/>
    </row>
    <row r="690" ht="15.75" customHeight="1">
      <c r="A690" s="88"/>
      <c r="B690" s="6"/>
      <c r="C690" s="6"/>
      <c r="D690" s="10"/>
      <c r="E690" s="54"/>
    </row>
    <row r="691" ht="15.75" customHeight="1">
      <c r="A691" s="88"/>
      <c r="B691" s="6"/>
      <c r="C691" s="6"/>
      <c r="D691" s="10"/>
      <c r="E691" s="54"/>
    </row>
    <row r="692" ht="15.75" customHeight="1">
      <c r="A692" s="88"/>
      <c r="B692" s="6"/>
      <c r="C692" s="6"/>
      <c r="D692" s="10"/>
      <c r="E692" s="54"/>
    </row>
    <row r="693" ht="15.75" customHeight="1">
      <c r="A693" s="88"/>
      <c r="B693" s="6"/>
      <c r="C693" s="6"/>
      <c r="D693" s="10"/>
      <c r="E693" s="54"/>
    </row>
    <row r="694" ht="15.75" customHeight="1">
      <c r="A694" s="88"/>
      <c r="B694" s="6"/>
      <c r="C694" s="6"/>
      <c r="D694" s="10"/>
      <c r="E694" s="54"/>
    </row>
    <row r="695" ht="15.75" customHeight="1">
      <c r="A695" s="88"/>
      <c r="B695" s="6"/>
      <c r="C695" s="6"/>
      <c r="D695" s="10"/>
      <c r="E695" s="54"/>
    </row>
    <row r="696" ht="15.75" customHeight="1">
      <c r="A696" s="88"/>
      <c r="B696" s="6"/>
      <c r="C696" s="6"/>
      <c r="D696" s="10"/>
      <c r="E696" s="54"/>
    </row>
    <row r="697" ht="15.75" customHeight="1">
      <c r="A697" s="88"/>
      <c r="B697" s="6"/>
      <c r="C697" s="6"/>
      <c r="D697" s="10"/>
      <c r="E697" s="54"/>
    </row>
    <row r="698" ht="15.75" customHeight="1">
      <c r="A698" s="88"/>
      <c r="B698" s="6"/>
      <c r="C698" s="6"/>
      <c r="D698" s="10"/>
      <c r="E698" s="54"/>
    </row>
    <row r="699" ht="15.75" customHeight="1">
      <c r="A699" s="88"/>
      <c r="B699" s="6"/>
      <c r="C699" s="6"/>
      <c r="D699" s="10"/>
      <c r="E699" s="54"/>
    </row>
    <row r="700" ht="15.75" customHeight="1">
      <c r="A700" s="88"/>
      <c r="B700" s="6"/>
      <c r="C700" s="6"/>
      <c r="D700" s="10"/>
      <c r="E700" s="54"/>
    </row>
    <row r="701" ht="15.75" customHeight="1">
      <c r="A701" s="88"/>
      <c r="B701" s="6"/>
      <c r="C701" s="6"/>
      <c r="D701" s="10"/>
      <c r="E701" s="54"/>
    </row>
    <row r="702" ht="15.75" customHeight="1">
      <c r="A702" s="88"/>
      <c r="B702" s="6"/>
      <c r="C702" s="6"/>
      <c r="D702" s="10"/>
      <c r="E702" s="54"/>
    </row>
    <row r="703" ht="15.75" customHeight="1">
      <c r="A703" s="88"/>
      <c r="B703" s="6"/>
      <c r="C703" s="6"/>
      <c r="D703" s="10"/>
      <c r="E703" s="54"/>
    </row>
    <row r="704" ht="15.75" customHeight="1">
      <c r="A704" s="88"/>
      <c r="B704" s="6"/>
      <c r="C704" s="6"/>
      <c r="D704" s="10"/>
      <c r="E704" s="54"/>
    </row>
    <row r="705" ht="15.75" customHeight="1">
      <c r="A705" s="88"/>
      <c r="B705" s="6"/>
      <c r="C705" s="6"/>
      <c r="D705" s="10"/>
      <c r="E705" s="54"/>
    </row>
    <row r="706" ht="15.75" customHeight="1">
      <c r="A706" s="88"/>
      <c r="B706" s="6"/>
      <c r="C706" s="6"/>
      <c r="D706" s="10"/>
      <c r="E706" s="54"/>
    </row>
    <row r="707" ht="15.75" customHeight="1">
      <c r="A707" s="88"/>
      <c r="B707" s="6"/>
      <c r="C707" s="6"/>
      <c r="D707" s="10"/>
      <c r="E707" s="54"/>
    </row>
    <row r="708" ht="15.75" customHeight="1">
      <c r="A708" s="88"/>
      <c r="B708" s="6"/>
      <c r="C708" s="6"/>
      <c r="D708" s="10"/>
      <c r="E708" s="54"/>
    </row>
    <row r="709" ht="15.75" customHeight="1">
      <c r="A709" s="88"/>
      <c r="B709" s="6"/>
      <c r="C709" s="6"/>
      <c r="D709" s="10"/>
      <c r="E709" s="54"/>
    </row>
    <row r="710" ht="15.75" customHeight="1">
      <c r="A710" s="88"/>
      <c r="B710" s="6"/>
      <c r="C710" s="6"/>
      <c r="D710" s="10"/>
      <c r="E710" s="54"/>
    </row>
    <row r="711" ht="15.75" customHeight="1">
      <c r="A711" s="88"/>
      <c r="B711" s="6"/>
      <c r="C711" s="6"/>
      <c r="D711" s="10"/>
      <c r="E711" s="54"/>
    </row>
    <row r="712" ht="15.75" customHeight="1">
      <c r="A712" s="88"/>
      <c r="B712" s="6"/>
      <c r="C712" s="6"/>
      <c r="D712" s="10"/>
      <c r="E712" s="54"/>
    </row>
    <row r="713" ht="15.75" customHeight="1">
      <c r="A713" s="88"/>
      <c r="B713" s="6"/>
      <c r="C713" s="6"/>
      <c r="D713" s="10"/>
      <c r="E713" s="54"/>
    </row>
    <row r="714" ht="15.75" customHeight="1">
      <c r="A714" s="88"/>
      <c r="B714" s="6"/>
      <c r="C714" s="6"/>
      <c r="D714" s="10"/>
      <c r="E714" s="54"/>
    </row>
    <row r="715" ht="15.75" customHeight="1">
      <c r="A715" s="88"/>
      <c r="B715" s="6"/>
      <c r="C715" s="6"/>
      <c r="D715" s="10"/>
      <c r="E715" s="54"/>
    </row>
    <row r="716" ht="15.75" customHeight="1">
      <c r="A716" s="88"/>
      <c r="B716" s="6"/>
      <c r="C716" s="6"/>
      <c r="D716" s="10"/>
      <c r="E716" s="54"/>
    </row>
    <row r="717" ht="15.75" customHeight="1">
      <c r="A717" s="88"/>
      <c r="B717" s="6"/>
      <c r="C717" s="6"/>
      <c r="D717" s="10"/>
      <c r="E717" s="54"/>
    </row>
    <row r="718" ht="15.75" customHeight="1">
      <c r="A718" s="88"/>
      <c r="B718" s="6"/>
      <c r="C718" s="6"/>
      <c r="D718" s="10"/>
      <c r="E718" s="54"/>
    </row>
    <row r="719" ht="15.75" customHeight="1">
      <c r="A719" s="88"/>
      <c r="B719" s="6"/>
      <c r="C719" s="6"/>
      <c r="D719" s="10"/>
      <c r="E719" s="54"/>
    </row>
    <row r="720" ht="15.75" customHeight="1">
      <c r="A720" s="88"/>
      <c r="B720" s="6"/>
      <c r="C720" s="6"/>
      <c r="D720" s="10"/>
      <c r="E720" s="54"/>
    </row>
    <row r="721" ht="15.75" customHeight="1">
      <c r="A721" s="88"/>
      <c r="B721" s="6"/>
      <c r="C721" s="6"/>
      <c r="D721" s="10"/>
      <c r="E721" s="54"/>
    </row>
    <row r="722" ht="15.75" customHeight="1">
      <c r="A722" s="88"/>
      <c r="B722" s="6"/>
      <c r="C722" s="6"/>
      <c r="D722" s="10"/>
      <c r="E722" s="54"/>
    </row>
    <row r="723" ht="15.75" customHeight="1">
      <c r="A723" s="88"/>
      <c r="B723" s="6"/>
      <c r="C723" s="6"/>
      <c r="D723" s="10"/>
      <c r="E723" s="54"/>
    </row>
    <row r="724" ht="15.75" customHeight="1">
      <c r="A724" s="88"/>
      <c r="B724" s="6"/>
      <c r="C724" s="6"/>
      <c r="D724" s="10"/>
      <c r="E724" s="54"/>
    </row>
    <row r="725" ht="15.75" customHeight="1">
      <c r="A725" s="88"/>
      <c r="B725" s="6"/>
      <c r="C725" s="6"/>
      <c r="D725" s="10"/>
      <c r="E725" s="54"/>
    </row>
    <row r="726" ht="15.75" customHeight="1">
      <c r="A726" s="88"/>
      <c r="B726" s="6"/>
      <c r="C726" s="6"/>
      <c r="D726" s="10"/>
      <c r="E726" s="54"/>
    </row>
    <row r="727" ht="15.75" customHeight="1">
      <c r="A727" s="88"/>
      <c r="B727" s="6"/>
      <c r="C727" s="6"/>
      <c r="D727" s="10"/>
      <c r="E727" s="54"/>
    </row>
    <row r="728" ht="15.75" customHeight="1">
      <c r="A728" s="88"/>
      <c r="B728" s="6"/>
      <c r="C728" s="6"/>
      <c r="D728" s="10"/>
      <c r="E728" s="54"/>
    </row>
    <row r="729" ht="15.75" customHeight="1">
      <c r="A729" s="88"/>
      <c r="B729" s="6"/>
      <c r="C729" s="6"/>
      <c r="D729" s="10"/>
      <c r="E729" s="54"/>
    </row>
    <row r="730" ht="15.75" customHeight="1">
      <c r="A730" s="88"/>
      <c r="B730" s="6"/>
      <c r="C730" s="6"/>
      <c r="D730" s="10"/>
      <c r="E730" s="54"/>
    </row>
    <row r="731" ht="15.75" customHeight="1">
      <c r="A731" s="88"/>
      <c r="B731" s="6"/>
      <c r="C731" s="6"/>
      <c r="D731" s="10"/>
      <c r="E731" s="54"/>
    </row>
    <row r="732" ht="15.75" customHeight="1">
      <c r="A732" s="88"/>
      <c r="B732" s="6"/>
      <c r="C732" s="6"/>
      <c r="D732" s="10"/>
      <c r="E732" s="54"/>
    </row>
    <row r="733" ht="15.75" customHeight="1">
      <c r="A733" s="88"/>
      <c r="B733" s="6"/>
      <c r="C733" s="6"/>
      <c r="D733" s="10"/>
      <c r="E733" s="54"/>
    </row>
    <row r="734" ht="15.75" customHeight="1">
      <c r="A734" s="88"/>
      <c r="B734" s="6"/>
      <c r="C734" s="6"/>
      <c r="D734" s="10"/>
      <c r="E734" s="54"/>
    </row>
    <row r="735" ht="15.75" customHeight="1">
      <c r="A735" s="88"/>
      <c r="B735" s="6"/>
      <c r="C735" s="6"/>
      <c r="D735" s="10"/>
      <c r="E735" s="54"/>
    </row>
    <row r="736" ht="15.75" customHeight="1">
      <c r="A736" s="88"/>
      <c r="B736" s="6"/>
      <c r="C736" s="6"/>
      <c r="D736" s="10"/>
      <c r="E736" s="54"/>
    </row>
    <row r="737" ht="15.75" customHeight="1">
      <c r="A737" s="88"/>
      <c r="B737" s="6"/>
      <c r="C737" s="6"/>
      <c r="D737" s="10"/>
      <c r="E737" s="54"/>
    </row>
    <row r="738" ht="15.75" customHeight="1">
      <c r="A738" s="88"/>
      <c r="B738" s="6"/>
      <c r="C738" s="6"/>
      <c r="D738" s="10"/>
      <c r="E738" s="54"/>
    </row>
    <row r="739" ht="15.75" customHeight="1">
      <c r="A739" s="88"/>
      <c r="B739" s="6"/>
      <c r="C739" s="6"/>
      <c r="D739" s="10"/>
      <c r="E739" s="54"/>
    </row>
    <row r="740" ht="15.75" customHeight="1">
      <c r="A740" s="88"/>
      <c r="B740" s="6"/>
      <c r="C740" s="6"/>
      <c r="D740" s="10"/>
      <c r="E740" s="54"/>
    </row>
    <row r="741" ht="15.75" customHeight="1">
      <c r="A741" s="88"/>
      <c r="B741" s="6"/>
      <c r="C741" s="6"/>
      <c r="D741" s="10"/>
      <c r="E741" s="54"/>
    </row>
    <row r="742" ht="15.75" customHeight="1">
      <c r="A742" s="88"/>
      <c r="B742" s="6"/>
      <c r="C742" s="6"/>
      <c r="D742" s="10"/>
      <c r="E742" s="54"/>
    </row>
    <row r="743" ht="15.75" customHeight="1">
      <c r="A743" s="88"/>
      <c r="B743" s="6"/>
      <c r="C743" s="6"/>
      <c r="D743" s="10"/>
      <c r="E743" s="54"/>
    </row>
    <row r="744" ht="15.75" customHeight="1">
      <c r="A744" s="88"/>
      <c r="B744" s="6"/>
      <c r="C744" s="6"/>
      <c r="D744" s="10"/>
      <c r="E744" s="54"/>
    </row>
    <row r="745" ht="15.75" customHeight="1">
      <c r="A745" s="88"/>
      <c r="B745" s="6"/>
      <c r="C745" s="6"/>
      <c r="D745" s="10"/>
      <c r="E745" s="54"/>
    </row>
    <row r="746" ht="15.75" customHeight="1">
      <c r="A746" s="88"/>
      <c r="B746" s="6"/>
      <c r="C746" s="6"/>
      <c r="D746" s="10"/>
      <c r="E746" s="54"/>
    </row>
    <row r="747" ht="15.75" customHeight="1">
      <c r="A747" s="88"/>
      <c r="B747" s="6"/>
      <c r="C747" s="6"/>
      <c r="D747" s="10"/>
      <c r="E747" s="54"/>
    </row>
    <row r="748" ht="15.75" customHeight="1">
      <c r="A748" s="88"/>
      <c r="B748" s="6"/>
      <c r="C748" s="6"/>
      <c r="D748" s="10"/>
      <c r="E748" s="54"/>
    </row>
    <row r="749" ht="15.75" customHeight="1">
      <c r="A749" s="88"/>
      <c r="B749" s="6"/>
      <c r="C749" s="6"/>
      <c r="D749" s="10"/>
      <c r="E749" s="54"/>
    </row>
    <row r="750" ht="15.75" customHeight="1">
      <c r="A750" s="88"/>
      <c r="B750" s="6"/>
      <c r="C750" s="6"/>
      <c r="D750" s="10"/>
      <c r="E750" s="54"/>
    </row>
    <row r="751" ht="15.75" customHeight="1">
      <c r="A751" s="88"/>
      <c r="B751" s="6"/>
      <c r="C751" s="6"/>
      <c r="D751" s="10"/>
      <c r="E751" s="54"/>
    </row>
    <row r="752" ht="15.75" customHeight="1">
      <c r="A752" s="88"/>
      <c r="B752" s="6"/>
      <c r="C752" s="6"/>
      <c r="D752" s="10"/>
      <c r="E752" s="54"/>
    </row>
    <row r="753" ht="15.75" customHeight="1">
      <c r="A753" s="88"/>
      <c r="B753" s="6"/>
      <c r="C753" s="6"/>
      <c r="D753" s="10"/>
      <c r="E753" s="54"/>
    </row>
    <row r="754" ht="15.75" customHeight="1">
      <c r="A754" s="88"/>
      <c r="B754" s="6"/>
      <c r="C754" s="6"/>
      <c r="D754" s="10"/>
      <c r="E754" s="54"/>
    </row>
    <row r="755" ht="15.75" customHeight="1">
      <c r="A755" s="88"/>
      <c r="B755" s="6"/>
      <c r="C755" s="6"/>
      <c r="D755" s="10"/>
      <c r="E755" s="54"/>
    </row>
    <row r="756" ht="15.75" customHeight="1">
      <c r="A756" s="88"/>
      <c r="B756" s="6"/>
      <c r="C756" s="6"/>
      <c r="D756" s="10"/>
      <c r="E756" s="54"/>
    </row>
    <row r="757" ht="15.75" customHeight="1">
      <c r="A757" s="88"/>
      <c r="B757" s="6"/>
      <c r="C757" s="6"/>
      <c r="D757" s="10"/>
      <c r="E757" s="54"/>
    </row>
    <row r="758" ht="15.75" customHeight="1">
      <c r="A758" s="88"/>
      <c r="B758" s="6"/>
      <c r="C758" s="6"/>
      <c r="D758" s="10"/>
      <c r="E758" s="54"/>
    </row>
    <row r="759" ht="15.75" customHeight="1">
      <c r="A759" s="88"/>
      <c r="B759" s="6"/>
      <c r="C759" s="6"/>
      <c r="D759" s="10"/>
      <c r="E759" s="54"/>
    </row>
    <row r="760" ht="15.75" customHeight="1">
      <c r="A760" s="88"/>
      <c r="B760" s="6"/>
      <c r="C760" s="6"/>
      <c r="D760" s="10"/>
      <c r="E760" s="54"/>
    </row>
    <row r="761" ht="15.75" customHeight="1">
      <c r="A761" s="88"/>
      <c r="B761" s="6"/>
      <c r="C761" s="6"/>
      <c r="D761" s="10"/>
      <c r="E761" s="54"/>
    </row>
    <row r="762" ht="15.75" customHeight="1">
      <c r="A762" s="88"/>
      <c r="B762" s="6"/>
      <c r="C762" s="6"/>
      <c r="D762" s="10"/>
      <c r="E762" s="54"/>
    </row>
    <row r="763" ht="15.75" customHeight="1">
      <c r="A763" s="88"/>
      <c r="B763" s="6"/>
      <c r="C763" s="6"/>
      <c r="D763" s="10"/>
      <c r="E763" s="54"/>
    </row>
    <row r="764" ht="15.75" customHeight="1">
      <c r="A764" s="88"/>
      <c r="B764" s="6"/>
      <c r="C764" s="6"/>
      <c r="D764" s="10"/>
      <c r="E764" s="54"/>
    </row>
    <row r="765" ht="15.75" customHeight="1">
      <c r="A765" s="88"/>
      <c r="B765" s="6"/>
      <c r="C765" s="6"/>
      <c r="D765" s="10"/>
      <c r="E765" s="54"/>
    </row>
    <row r="766" ht="15.75" customHeight="1">
      <c r="A766" s="88"/>
      <c r="B766" s="6"/>
      <c r="C766" s="6"/>
      <c r="D766" s="10"/>
      <c r="E766" s="54"/>
    </row>
    <row r="767" ht="15.75" customHeight="1">
      <c r="A767" s="88"/>
      <c r="B767" s="6"/>
      <c r="C767" s="6"/>
      <c r="D767" s="10"/>
      <c r="E767" s="54"/>
    </row>
    <row r="768" ht="15.75" customHeight="1">
      <c r="A768" s="88"/>
      <c r="B768" s="6"/>
      <c r="C768" s="6"/>
      <c r="D768" s="10"/>
      <c r="E768" s="54"/>
    </row>
    <row r="769" ht="15.75" customHeight="1">
      <c r="A769" s="88"/>
      <c r="B769" s="6"/>
      <c r="C769" s="6"/>
      <c r="D769" s="10"/>
      <c r="E769" s="54"/>
    </row>
    <row r="770" ht="15.75" customHeight="1">
      <c r="A770" s="88"/>
      <c r="B770" s="6"/>
      <c r="C770" s="6"/>
      <c r="D770" s="10"/>
      <c r="E770" s="54"/>
    </row>
    <row r="771" ht="15.75" customHeight="1">
      <c r="A771" s="88"/>
      <c r="B771" s="6"/>
      <c r="C771" s="6"/>
      <c r="D771" s="10"/>
      <c r="E771" s="54"/>
    </row>
    <row r="772" ht="15.75" customHeight="1">
      <c r="A772" s="88"/>
      <c r="B772" s="6"/>
      <c r="C772" s="6"/>
      <c r="D772" s="10"/>
      <c r="E772" s="54"/>
    </row>
    <row r="773" ht="15.75" customHeight="1">
      <c r="A773" s="88"/>
      <c r="B773" s="6"/>
      <c r="C773" s="6"/>
      <c r="D773" s="10"/>
      <c r="E773" s="54"/>
    </row>
    <row r="774" ht="15.75" customHeight="1">
      <c r="A774" s="88"/>
      <c r="B774" s="6"/>
      <c r="C774" s="6"/>
      <c r="D774" s="10"/>
      <c r="E774" s="54"/>
    </row>
    <row r="775" ht="15.75" customHeight="1">
      <c r="A775" s="88"/>
      <c r="B775" s="6"/>
      <c r="C775" s="6"/>
      <c r="D775" s="10"/>
      <c r="E775" s="54"/>
    </row>
    <row r="776" ht="15.75" customHeight="1">
      <c r="A776" s="88"/>
      <c r="B776" s="6"/>
      <c r="C776" s="6"/>
      <c r="D776" s="10"/>
      <c r="E776" s="54"/>
    </row>
    <row r="777" ht="15.75" customHeight="1">
      <c r="A777" s="88"/>
      <c r="B777" s="6"/>
      <c r="C777" s="6"/>
      <c r="D777" s="10"/>
      <c r="E777" s="54"/>
    </row>
    <row r="778" ht="15.75" customHeight="1">
      <c r="A778" s="88"/>
      <c r="B778" s="6"/>
      <c r="C778" s="6"/>
      <c r="D778" s="10"/>
      <c r="E778" s="54"/>
    </row>
    <row r="779" ht="15.75" customHeight="1">
      <c r="A779" s="88"/>
      <c r="B779" s="6"/>
      <c r="C779" s="6"/>
      <c r="D779" s="10"/>
      <c r="E779" s="54"/>
    </row>
    <row r="780" ht="15.75" customHeight="1">
      <c r="A780" s="88"/>
      <c r="B780" s="6"/>
      <c r="C780" s="6"/>
      <c r="D780" s="10"/>
      <c r="E780" s="54"/>
    </row>
    <row r="781" ht="15.75" customHeight="1">
      <c r="A781" s="88"/>
      <c r="B781" s="6"/>
      <c r="C781" s="6"/>
      <c r="D781" s="10"/>
      <c r="E781" s="54"/>
    </row>
    <row r="782" ht="15.75" customHeight="1">
      <c r="A782" s="88"/>
      <c r="B782" s="6"/>
      <c r="C782" s="6"/>
      <c r="D782" s="10"/>
      <c r="E782" s="54"/>
    </row>
    <row r="783" ht="15.75" customHeight="1">
      <c r="A783" s="88"/>
      <c r="B783" s="6"/>
      <c r="C783" s="6"/>
      <c r="D783" s="10"/>
      <c r="E783" s="54"/>
    </row>
    <row r="784" ht="15.75" customHeight="1">
      <c r="A784" s="88"/>
      <c r="B784" s="6"/>
      <c r="C784" s="6"/>
      <c r="D784" s="10"/>
      <c r="E784" s="54"/>
    </row>
    <row r="785" ht="15.75" customHeight="1">
      <c r="A785" s="88"/>
      <c r="B785" s="6"/>
      <c r="C785" s="6"/>
      <c r="D785" s="10"/>
      <c r="E785" s="54"/>
    </row>
    <row r="786" ht="15.75" customHeight="1">
      <c r="A786" s="88"/>
      <c r="B786" s="6"/>
      <c r="C786" s="6"/>
      <c r="D786" s="10"/>
      <c r="E786" s="54"/>
    </row>
    <row r="787" ht="15.75" customHeight="1">
      <c r="A787" s="88"/>
      <c r="B787" s="6"/>
      <c r="C787" s="6"/>
      <c r="D787" s="10"/>
      <c r="E787" s="54"/>
    </row>
    <row r="788" ht="15.75" customHeight="1">
      <c r="A788" s="88"/>
      <c r="B788" s="6"/>
      <c r="C788" s="6"/>
      <c r="D788" s="10"/>
      <c r="E788" s="54"/>
    </row>
    <row r="789" ht="15.75" customHeight="1">
      <c r="A789" s="88"/>
      <c r="B789" s="6"/>
      <c r="C789" s="6"/>
      <c r="D789" s="10"/>
      <c r="E789" s="54"/>
    </row>
    <row r="790" ht="15.75" customHeight="1">
      <c r="A790" s="88"/>
      <c r="B790" s="6"/>
      <c r="C790" s="6"/>
      <c r="D790" s="10"/>
      <c r="E790" s="54"/>
    </row>
    <row r="791" ht="15.75" customHeight="1">
      <c r="A791" s="88"/>
      <c r="B791" s="6"/>
      <c r="C791" s="6"/>
      <c r="D791" s="10"/>
      <c r="E791" s="54"/>
    </row>
    <row r="792" ht="15.75" customHeight="1">
      <c r="A792" s="88"/>
      <c r="B792" s="6"/>
      <c r="C792" s="6"/>
      <c r="D792" s="10"/>
      <c r="E792" s="54"/>
    </row>
    <row r="793" ht="15.75" customHeight="1">
      <c r="A793" s="88"/>
      <c r="B793" s="6"/>
      <c r="C793" s="6"/>
      <c r="D793" s="10"/>
      <c r="E793" s="54"/>
    </row>
    <row r="794" ht="15.75" customHeight="1">
      <c r="A794" s="88"/>
      <c r="B794" s="6"/>
      <c r="C794" s="6"/>
      <c r="D794" s="10"/>
      <c r="E794" s="54"/>
    </row>
    <row r="795" ht="15.75" customHeight="1">
      <c r="A795" s="88"/>
      <c r="B795" s="6"/>
      <c r="C795" s="6"/>
      <c r="D795" s="10"/>
      <c r="E795" s="54"/>
    </row>
    <row r="796" ht="15.75" customHeight="1">
      <c r="A796" s="88"/>
      <c r="B796" s="6"/>
      <c r="C796" s="6"/>
      <c r="D796" s="10"/>
      <c r="E796" s="54"/>
    </row>
    <row r="797" ht="15.75" customHeight="1">
      <c r="A797" s="88"/>
      <c r="B797" s="6"/>
      <c r="C797" s="6"/>
      <c r="D797" s="10"/>
      <c r="E797" s="54"/>
    </row>
    <row r="798" ht="15.75" customHeight="1">
      <c r="A798" s="88"/>
      <c r="B798" s="6"/>
      <c r="C798" s="6"/>
      <c r="D798" s="10"/>
      <c r="E798" s="54"/>
    </row>
    <row r="799" ht="15.75" customHeight="1">
      <c r="A799" s="88"/>
      <c r="B799" s="6"/>
      <c r="C799" s="6"/>
      <c r="D799" s="10"/>
      <c r="E799" s="54"/>
    </row>
    <row r="800" ht="15.75" customHeight="1">
      <c r="A800" s="88"/>
      <c r="B800" s="6"/>
      <c r="C800" s="6"/>
      <c r="D800" s="10"/>
      <c r="E800" s="54"/>
    </row>
    <row r="801" ht="15.75" customHeight="1">
      <c r="A801" s="88"/>
      <c r="B801" s="6"/>
      <c r="C801" s="6"/>
      <c r="D801" s="10"/>
      <c r="E801" s="54"/>
    </row>
    <row r="802" ht="15.75" customHeight="1">
      <c r="A802" s="88"/>
      <c r="B802" s="6"/>
      <c r="C802" s="6"/>
      <c r="D802" s="10"/>
      <c r="E802" s="54"/>
    </row>
    <row r="803" ht="15.75" customHeight="1">
      <c r="A803" s="88"/>
      <c r="B803" s="6"/>
      <c r="C803" s="6"/>
      <c r="D803" s="10"/>
      <c r="E803" s="54"/>
    </row>
    <row r="804" ht="15.75" customHeight="1">
      <c r="A804" s="88"/>
      <c r="B804" s="6"/>
      <c r="C804" s="6"/>
      <c r="D804" s="10"/>
      <c r="E804" s="54"/>
    </row>
    <row r="805" ht="15.75" customHeight="1">
      <c r="A805" s="88"/>
      <c r="B805" s="6"/>
      <c r="C805" s="6"/>
      <c r="D805" s="10"/>
      <c r="E805" s="54"/>
    </row>
    <row r="806" ht="15.75" customHeight="1">
      <c r="A806" s="88"/>
      <c r="B806" s="6"/>
      <c r="C806" s="6"/>
      <c r="D806" s="10"/>
      <c r="E806" s="54"/>
    </row>
    <row r="807" ht="15.75" customHeight="1">
      <c r="A807" s="88"/>
      <c r="B807" s="6"/>
      <c r="C807" s="6"/>
      <c r="D807" s="10"/>
      <c r="E807" s="54"/>
    </row>
    <row r="808" ht="15.75" customHeight="1">
      <c r="A808" s="88"/>
      <c r="B808" s="6"/>
      <c r="C808" s="6"/>
      <c r="D808" s="10"/>
      <c r="E808" s="54"/>
    </row>
    <row r="809" ht="15.75" customHeight="1">
      <c r="A809" s="88"/>
      <c r="B809" s="6"/>
      <c r="C809" s="6"/>
      <c r="D809" s="10"/>
      <c r="E809" s="54"/>
    </row>
    <row r="810" ht="15.75" customHeight="1">
      <c r="A810" s="88"/>
      <c r="B810" s="6"/>
      <c r="C810" s="6"/>
      <c r="D810" s="10"/>
      <c r="E810" s="54"/>
    </row>
    <row r="811" ht="15.75" customHeight="1">
      <c r="A811" s="88"/>
      <c r="B811" s="6"/>
      <c r="C811" s="6"/>
      <c r="D811" s="10"/>
      <c r="E811" s="54"/>
    </row>
    <row r="812" ht="15.75" customHeight="1">
      <c r="A812" s="88"/>
      <c r="B812" s="6"/>
      <c r="C812" s="6"/>
      <c r="D812" s="10"/>
      <c r="E812" s="54"/>
    </row>
    <row r="813" ht="15.75" customHeight="1">
      <c r="A813" s="88"/>
      <c r="B813" s="6"/>
      <c r="C813" s="6"/>
      <c r="D813" s="10"/>
      <c r="E813" s="54"/>
    </row>
    <row r="814" ht="15.75" customHeight="1">
      <c r="A814" s="88"/>
      <c r="B814" s="6"/>
      <c r="C814" s="6"/>
      <c r="D814" s="10"/>
      <c r="E814" s="54"/>
    </row>
    <row r="815" ht="15.75" customHeight="1">
      <c r="A815" s="88"/>
      <c r="B815" s="6"/>
      <c r="C815" s="6"/>
      <c r="D815" s="10"/>
      <c r="E815" s="54"/>
    </row>
    <row r="816" ht="15.75" customHeight="1">
      <c r="A816" s="88"/>
      <c r="B816" s="6"/>
      <c r="C816" s="6"/>
      <c r="D816" s="10"/>
      <c r="E816" s="54"/>
    </row>
    <row r="817" ht="15.75" customHeight="1">
      <c r="A817" s="88"/>
      <c r="B817" s="6"/>
      <c r="C817" s="6"/>
      <c r="D817" s="10"/>
      <c r="E817" s="54"/>
    </row>
    <row r="818" ht="15.75" customHeight="1">
      <c r="A818" s="88"/>
      <c r="B818" s="6"/>
      <c r="C818" s="6"/>
      <c r="D818" s="10"/>
      <c r="E818" s="54"/>
    </row>
    <row r="819" ht="15.75" customHeight="1">
      <c r="A819" s="88"/>
      <c r="B819" s="6"/>
      <c r="C819" s="6"/>
      <c r="D819" s="10"/>
      <c r="E819" s="54"/>
    </row>
    <row r="820" ht="15.75" customHeight="1">
      <c r="A820" s="88"/>
      <c r="B820" s="6"/>
      <c r="C820" s="6"/>
      <c r="D820" s="10"/>
      <c r="E820" s="54"/>
    </row>
    <row r="821" ht="15.75" customHeight="1">
      <c r="A821" s="88"/>
      <c r="B821" s="6"/>
      <c r="C821" s="6"/>
      <c r="D821" s="10"/>
      <c r="E821" s="54"/>
    </row>
    <row r="822" ht="15.75" customHeight="1">
      <c r="A822" s="88"/>
      <c r="B822" s="6"/>
      <c r="C822" s="6"/>
      <c r="D822" s="10"/>
      <c r="E822" s="54"/>
    </row>
    <row r="823" ht="15.75" customHeight="1">
      <c r="A823" s="88"/>
      <c r="B823" s="6"/>
      <c r="C823" s="6"/>
      <c r="D823" s="10"/>
      <c r="E823" s="54"/>
    </row>
    <row r="824" ht="15.75" customHeight="1">
      <c r="A824" s="88"/>
      <c r="B824" s="6"/>
      <c r="C824" s="6"/>
      <c r="D824" s="10"/>
      <c r="E824" s="54"/>
    </row>
    <row r="825" ht="15.75" customHeight="1">
      <c r="A825" s="88"/>
      <c r="B825" s="6"/>
      <c r="C825" s="6"/>
      <c r="D825" s="10"/>
      <c r="E825" s="54"/>
    </row>
    <row r="826" ht="15.75" customHeight="1">
      <c r="A826" s="88"/>
      <c r="B826" s="6"/>
      <c r="C826" s="6"/>
      <c r="D826" s="10"/>
      <c r="E826" s="54"/>
    </row>
    <row r="827" ht="15.75" customHeight="1">
      <c r="A827" s="88"/>
      <c r="B827" s="6"/>
      <c r="C827" s="6"/>
      <c r="D827" s="10"/>
      <c r="E827" s="54"/>
    </row>
    <row r="828" ht="15.75" customHeight="1">
      <c r="A828" s="88"/>
      <c r="B828" s="6"/>
      <c r="C828" s="6"/>
      <c r="D828" s="10"/>
      <c r="E828" s="54"/>
    </row>
    <row r="829" ht="15.75" customHeight="1">
      <c r="A829" s="88"/>
      <c r="B829" s="6"/>
      <c r="C829" s="6"/>
      <c r="D829" s="10"/>
      <c r="E829" s="54"/>
    </row>
    <row r="830" ht="15.75" customHeight="1">
      <c r="A830" s="88"/>
      <c r="B830" s="6"/>
      <c r="C830" s="6"/>
      <c r="D830" s="10"/>
      <c r="E830" s="54"/>
    </row>
    <row r="831" ht="15.75" customHeight="1">
      <c r="A831" s="88"/>
      <c r="B831" s="6"/>
      <c r="C831" s="6"/>
      <c r="D831" s="10"/>
      <c r="E831" s="54"/>
    </row>
    <row r="832" ht="15.75" customHeight="1">
      <c r="A832" s="88"/>
      <c r="B832" s="6"/>
      <c r="C832" s="6"/>
      <c r="D832" s="10"/>
      <c r="E832" s="54"/>
    </row>
    <row r="833" ht="15.75" customHeight="1">
      <c r="A833" s="88"/>
      <c r="B833" s="6"/>
      <c r="C833" s="6"/>
      <c r="D833" s="10"/>
      <c r="E833" s="54"/>
    </row>
    <row r="834" ht="15.75" customHeight="1">
      <c r="A834" s="88"/>
      <c r="B834" s="6"/>
      <c r="C834" s="6"/>
      <c r="D834" s="10"/>
      <c r="E834" s="54"/>
    </row>
    <row r="835" ht="15.75" customHeight="1">
      <c r="A835" s="88"/>
      <c r="B835" s="6"/>
      <c r="C835" s="6"/>
      <c r="D835" s="10"/>
      <c r="E835" s="54"/>
    </row>
    <row r="836" ht="15.75" customHeight="1">
      <c r="A836" s="88"/>
      <c r="B836" s="6"/>
      <c r="C836" s="6"/>
      <c r="D836" s="10"/>
      <c r="E836" s="54"/>
    </row>
    <row r="837" ht="15.75" customHeight="1">
      <c r="A837" s="88"/>
      <c r="B837" s="6"/>
      <c r="C837" s="6"/>
      <c r="D837" s="10"/>
      <c r="E837" s="54"/>
    </row>
    <row r="838" ht="15.75" customHeight="1">
      <c r="A838" s="88"/>
      <c r="B838" s="6"/>
      <c r="C838" s="6"/>
      <c r="D838" s="10"/>
      <c r="E838" s="54"/>
    </row>
    <row r="839" ht="15.75" customHeight="1">
      <c r="A839" s="88"/>
      <c r="B839" s="6"/>
      <c r="C839" s="6"/>
      <c r="D839" s="10"/>
      <c r="E839" s="54"/>
    </row>
    <row r="840" ht="15.75" customHeight="1">
      <c r="A840" s="88"/>
      <c r="B840" s="6"/>
      <c r="C840" s="6"/>
      <c r="D840" s="10"/>
      <c r="E840" s="54"/>
    </row>
    <row r="841" ht="15.75" customHeight="1">
      <c r="A841" s="88"/>
      <c r="B841" s="6"/>
      <c r="C841" s="6"/>
      <c r="D841" s="10"/>
      <c r="E841" s="54"/>
    </row>
    <row r="842" ht="15.75" customHeight="1">
      <c r="A842" s="88"/>
      <c r="B842" s="6"/>
      <c r="C842" s="6"/>
      <c r="D842" s="10"/>
      <c r="E842" s="54"/>
    </row>
    <row r="843" ht="15.75" customHeight="1">
      <c r="A843" s="88"/>
      <c r="B843" s="6"/>
      <c r="C843" s="6"/>
      <c r="D843" s="10"/>
      <c r="E843" s="54"/>
    </row>
    <row r="844" ht="15.75" customHeight="1">
      <c r="A844" s="88"/>
      <c r="B844" s="6"/>
      <c r="C844" s="6"/>
      <c r="D844" s="10"/>
      <c r="E844" s="54"/>
    </row>
    <row r="845" ht="15.75" customHeight="1">
      <c r="A845" s="88"/>
      <c r="B845" s="6"/>
      <c r="C845" s="6"/>
      <c r="D845" s="10"/>
      <c r="E845" s="54"/>
    </row>
    <row r="846" ht="15.75" customHeight="1">
      <c r="A846" s="88"/>
      <c r="B846" s="6"/>
      <c r="C846" s="6"/>
      <c r="D846" s="10"/>
      <c r="E846" s="54"/>
    </row>
    <row r="847" ht="15.75" customHeight="1">
      <c r="A847" s="88"/>
      <c r="B847" s="6"/>
      <c r="C847" s="6"/>
      <c r="D847" s="10"/>
      <c r="E847" s="54"/>
    </row>
    <row r="848" ht="15.75" customHeight="1">
      <c r="A848" s="88"/>
      <c r="B848" s="6"/>
      <c r="C848" s="6"/>
      <c r="D848" s="10"/>
      <c r="E848" s="54"/>
    </row>
    <row r="849" ht="15.75" customHeight="1">
      <c r="A849" s="88"/>
      <c r="B849" s="6"/>
      <c r="C849" s="6"/>
      <c r="D849" s="10"/>
      <c r="E849" s="54"/>
    </row>
    <row r="850" ht="15.75" customHeight="1">
      <c r="A850" s="88"/>
      <c r="B850" s="6"/>
      <c r="C850" s="6"/>
      <c r="D850" s="10"/>
      <c r="E850" s="54"/>
    </row>
    <row r="851" ht="15.75" customHeight="1">
      <c r="A851" s="88"/>
      <c r="B851" s="6"/>
      <c r="C851" s="6"/>
      <c r="D851" s="10"/>
      <c r="E851" s="54"/>
    </row>
    <row r="852" ht="15.75" customHeight="1">
      <c r="A852" s="88"/>
      <c r="B852" s="6"/>
      <c r="C852" s="6"/>
      <c r="D852" s="10"/>
      <c r="E852" s="54"/>
    </row>
    <row r="853" ht="15.75" customHeight="1">
      <c r="A853" s="88"/>
      <c r="B853" s="6"/>
      <c r="C853" s="6"/>
      <c r="D853" s="10"/>
      <c r="E853" s="54"/>
    </row>
    <row r="854" ht="15.75" customHeight="1">
      <c r="A854" s="88"/>
      <c r="B854" s="6"/>
      <c r="C854" s="6"/>
      <c r="D854" s="10"/>
      <c r="E854" s="54"/>
    </row>
    <row r="855" ht="15.75" customHeight="1">
      <c r="A855" s="88"/>
      <c r="B855" s="6"/>
      <c r="C855" s="6"/>
      <c r="D855" s="10"/>
      <c r="E855" s="54"/>
    </row>
    <row r="856" ht="15.75" customHeight="1">
      <c r="A856" s="88"/>
      <c r="B856" s="6"/>
      <c r="C856" s="6"/>
      <c r="D856" s="10"/>
      <c r="E856" s="54"/>
    </row>
    <row r="857" ht="15.75" customHeight="1">
      <c r="A857" s="88"/>
      <c r="B857" s="6"/>
      <c r="C857" s="6"/>
      <c r="D857" s="10"/>
      <c r="E857" s="54"/>
    </row>
    <row r="858" ht="15.75" customHeight="1">
      <c r="A858" s="88"/>
      <c r="B858" s="6"/>
      <c r="C858" s="6"/>
      <c r="D858" s="10"/>
      <c r="E858" s="54"/>
    </row>
    <row r="859" ht="15.75" customHeight="1">
      <c r="A859" s="88"/>
      <c r="B859" s="6"/>
      <c r="C859" s="6"/>
      <c r="D859" s="10"/>
      <c r="E859" s="54"/>
    </row>
    <row r="860" ht="15.75" customHeight="1">
      <c r="A860" s="88"/>
      <c r="B860" s="6"/>
      <c r="C860" s="6"/>
      <c r="D860" s="10"/>
      <c r="E860" s="54"/>
    </row>
    <row r="861" ht="15.75" customHeight="1">
      <c r="A861" s="88"/>
      <c r="B861" s="6"/>
      <c r="C861" s="6"/>
      <c r="D861" s="10"/>
      <c r="E861" s="54"/>
    </row>
    <row r="862" ht="15.75" customHeight="1">
      <c r="A862" s="88"/>
      <c r="B862" s="6"/>
      <c r="C862" s="6"/>
      <c r="D862" s="10"/>
      <c r="E862" s="54"/>
    </row>
    <row r="863" ht="15.75" customHeight="1">
      <c r="A863" s="88"/>
      <c r="B863" s="6"/>
      <c r="C863" s="6"/>
      <c r="D863" s="10"/>
      <c r="E863" s="54"/>
    </row>
    <row r="864" ht="15.75" customHeight="1">
      <c r="A864" s="88"/>
      <c r="B864" s="6"/>
      <c r="C864" s="6"/>
      <c r="D864" s="10"/>
      <c r="E864" s="54"/>
    </row>
    <row r="865" ht="15.75" customHeight="1">
      <c r="A865" s="88"/>
      <c r="B865" s="6"/>
      <c r="C865" s="6"/>
      <c r="D865" s="10"/>
      <c r="E865" s="54"/>
    </row>
    <row r="866" ht="15.75" customHeight="1">
      <c r="A866" s="88"/>
      <c r="B866" s="6"/>
      <c r="C866" s="6"/>
      <c r="D866" s="10"/>
      <c r="E866" s="54"/>
    </row>
    <row r="867" ht="15.75" customHeight="1">
      <c r="A867" s="88"/>
      <c r="B867" s="6"/>
      <c r="C867" s="6"/>
      <c r="D867" s="10"/>
      <c r="E867" s="54"/>
    </row>
    <row r="868" ht="15.75" customHeight="1">
      <c r="A868" s="88"/>
      <c r="B868" s="6"/>
      <c r="C868" s="6"/>
      <c r="D868" s="10"/>
      <c r="E868" s="54"/>
    </row>
    <row r="869" ht="15.75" customHeight="1">
      <c r="A869" s="88"/>
      <c r="B869" s="6"/>
      <c r="C869" s="6"/>
      <c r="D869" s="10"/>
      <c r="E869" s="54"/>
    </row>
    <row r="870" ht="15.75" customHeight="1">
      <c r="A870" s="88"/>
      <c r="B870" s="6"/>
      <c r="C870" s="6"/>
      <c r="D870" s="10"/>
      <c r="E870" s="54"/>
    </row>
    <row r="871" ht="15.75" customHeight="1">
      <c r="A871" s="88"/>
      <c r="B871" s="6"/>
      <c r="C871" s="6"/>
      <c r="D871" s="10"/>
      <c r="E871" s="54"/>
    </row>
    <row r="872" ht="15.75" customHeight="1">
      <c r="A872" s="88"/>
      <c r="B872" s="6"/>
      <c r="C872" s="6"/>
      <c r="D872" s="10"/>
      <c r="E872" s="54"/>
    </row>
    <row r="873" ht="15.75" customHeight="1">
      <c r="A873" s="88"/>
      <c r="B873" s="6"/>
      <c r="C873" s="6"/>
      <c r="D873" s="10"/>
      <c r="E873" s="54"/>
    </row>
    <row r="874" ht="15.75" customHeight="1">
      <c r="A874" s="88"/>
      <c r="B874" s="6"/>
      <c r="C874" s="6"/>
      <c r="D874" s="10"/>
      <c r="E874" s="54"/>
    </row>
    <row r="875" ht="15.75" customHeight="1">
      <c r="A875" s="88"/>
      <c r="B875" s="6"/>
      <c r="C875" s="6"/>
      <c r="D875" s="10"/>
      <c r="E875" s="54"/>
    </row>
    <row r="876" ht="15.75" customHeight="1">
      <c r="A876" s="88"/>
      <c r="B876" s="6"/>
      <c r="C876" s="6"/>
      <c r="D876" s="10"/>
      <c r="E876" s="54"/>
    </row>
    <row r="877" ht="15.75" customHeight="1">
      <c r="A877" s="88"/>
      <c r="B877" s="6"/>
      <c r="C877" s="6"/>
      <c r="D877" s="10"/>
      <c r="E877" s="54"/>
    </row>
    <row r="878" ht="15.75" customHeight="1">
      <c r="A878" s="88"/>
      <c r="B878" s="6"/>
      <c r="C878" s="6"/>
      <c r="D878" s="10"/>
      <c r="E878" s="54"/>
    </row>
    <row r="879" ht="15.75" customHeight="1">
      <c r="A879" s="88"/>
      <c r="B879" s="6"/>
      <c r="C879" s="6"/>
      <c r="D879" s="10"/>
      <c r="E879" s="54"/>
    </row>
    <row r="880" ht="15.75" customHeight="1">
      <c r="A880" s="88"/>
      <c r="B880" s="6"/>
      <c r="C880" s="6"/>
      <c r="D880" s="10"/>
      <c r="E880" s="54"/>
    </row>
    <row r="881" ht="15.75" customHeight="1">
      <c r="A881" s="88"/>
      <c r="B881" s="6"/>
      <c r="C881" s="6"/>
      <c r="D881" s="10"/>
      <c r="E881" s="54"/>
    </row>
    <row r="882" ht="15.75" customHeight="1">
      <c r="A882" s="88"/>
      <c r="B882" s="6"/>
      <c r="C882" s="6"/>
      <c r="D882" s="10"/>
      <c r="E882" s="54"/>
    </row>
    <row r="883" ht="15.75" customHeight="1">
      <c r="A883" s="88"/>
      <c r="B883" s="6"/>
      <c r="C883" s="6"/>
      <c r="D883" s="10"/>
      <c r="E883" s="54"/>
    </row>
    <row r="884" ht="15.75" customHeight="1">
      <c r="A884" s="88"/>
      <c r="B884" s="6"/>
      <c r="C884" s="6"/>
      <c r="D884" s="10"/>
      <c r="E884" s="54"/>
    </row>
    <row r="885" ht="15.75" customHeight="1">
      <c r="A885" s="88"/>
      <c r="B885" s="6"/>
      <c r="C885" s="6"/>
      <c r="D885" s="10"/>
      <c r="E885" s="54"/>
    </row>
    <row r="886" ht="15.75" customHeight="1">
      <c r="A886" s="88"/>
      <c r="B886" s="6"/>
      <c r="C886" s="6"/>
      <c r="D886" s="10"/>
      <c r="E886" s="54"/>
    </row>
    <row r="887" ht="15.75" customHeight="1">
      <c r="A887" s="88"/>
      <c r="B887" s="6"/>
      <c r="C887" s="6"/>
      <c r="D887" s="10"/>
      <c r="E887" s="54"/>
    </row>
    <row r="888" ht="15.75" customHeight="1">
      <c r="A888" s="88"/>
      <c r="B888" s="6"/>
      <c r="C888" s="6"/>
      <c r="D888" s="10"/>
      <c r="E888" s="54"/>
    </row>
    <row r="889" ht="15.75" customHeight="1">
      <c r="A889" s="88"/>
      <c r="B889" s="6"/>
      <c r="C889" s="6"/>
      <c r="D889" s="10"/>
      <c r="E889" s="54"/>
    </row>
    <row r="890" ht="15.75" customHeight="1">
      <c r="A890" s="88"/>
      <c r="B890" s="6"/>
      <c r="C890" s="6"/>
      <c r="D890" s="10"/>
      <c r="E890" s="54"/>
    </row>
    <row r="891" ht="15.75" customHeight="1">
      <c r="A891" s="88"/>
      <c r="B891" s="6"/>
      <c r="C891" s="6"/>
      <c r="D891" s="10"/>
      <c r="E891" s="54"/>
    </row>
    <row r="892" ht="15.75" customHeight="1">
      <c r="A892" s="88"/>
      <c r="B892" s="6"/>
      <c r="C892" s="6"/>
      <c r="D892" s="10"/>
      <c r="E892" s="54"/>
    </row>
    <row r="893" ht="15.75" customHeight="1">
      <c r="A893" s="88"/>
      <c r="B893" s="6"/>
      <c r="C893" s="6"/>
      <c r="D893" s="10"/>
      <c r="E893" s="54"/>
    </row>
    <row r="894" ht="15.75" customHeight="1">
      <c r="A894" s="88"/>
      <c r="B894" s="6"/>
      <c r="C894" s="6"/>
      <c r="D894" s="10"/>
      <c r="E894" s="54"/>
    </row>
    <row r="895" ht="15.75" customHeight="1">
      <c r="A895" s="88"/>
      <c r="B895" s="6"/>
      <c r="C895" s="6"/>
      <c r="D895" s="10"/>
      <c r="E895" s="54"/>
    </row>
    <row r="896" ht="15.75" customHeight="1">
      <c r="A896" s="88"/>
      <c r="B896" s="6"/>
      <c r="C896" s="6"/>
      <c r="D896" s="10"/>
      <c r="E896" s="54"/>
    </row>
    <row r="897" ht="15.75" customHeight="1">
      <c r="A897" s="88"/>
      <c r="B897" s="6"/>
      <c r="C897" s="6"/>
      <c r="D897" s="10"/>
      <c r="E897" s="54"/>
    </row>
    <row r="898" ht="15.75" customHeight="1">
      <c r="A898" s="88"/>
      <c r="B898" s="6"/>
      <c r="C898" s="6"/>
      <c r="D898" s="10"/>
      <c r="E898" s="54"/>
    </row>
    <row r="899" ht="15.75" customHeight="1">
      <c r="A899" s="88"/>
      <c r="B899" s="6"/>
      <c r="C899" s="6"/>
      <c r="D899" s="10"/>
      <c r="E899" s="54"/>
    </row>
    <row r="900" ht="15.75" customHeight="1">
      <c r="A900" s="88"/>
      <c r="B900" s="6"/>
      <c r="C900" s="6"/>
      <c r="D900" s="10"/>
      <c r="E900" s="54"/>
    </row>
    <row r="901" ht="15.75" customHeight="1">
      <c r="A901" s="88"/>
      <c r="B901" s="6"/>
      <c r="C901" s="6"/>
      <c r="D901" s="10"/>
      <c r="E901" s="54"/>
    </row>
    <row r="902" ht="15.75" customHeight="1">
      <c r="A902" s="88"/>
      <c r="B902" s="6"/>
      <c r="C902" s="6"/>
      <c r="D902" s="10"/>
      <c r="E902" s="54"/>
    </row>
    <row r="903" ht="15.75" customHeight="1">
      <c r="A903" s="88"/>
      <c r="B903" s="6"/>
      <c r="C903" s="6"/>
      <c r="D903" s="10"/>
      <c r="E903" s="54"/>
    </row>
    <row r="904" ht="15.75" customHeight="1">
      <c r="A904" s="88"/>
      <c r="B904" s="6"/>
      <c r="C904" s="6"/>
      <c r="D904" s="10"/>
      <c r="E904" s="54"/>
    </row>
    <row r="905" ht="15.75" customHeight="1">
      <c r="A905" s="88"/>
      <c r="B905" s="6"/>
      <c r="C905" s="6"/>
      <c r="D905" s="10"/>
      <c r="E905" s="54"/>
    </row>
    <row r="906" ht="15.75" customHeight="1">
      <c r="A906" s="88"/>
      <c r="B906" s="6"/>
      <c r="C906" s="6"/>
      <c r="D906" s="10"/>
      <c r="E906" s="54"/>
    </row>
    <row r="907" ht="15.75" customHeight="1">
      <c r="A907" s="88"/>
      <c r="B907" s="6"/>
      <c r="C907" s="6"/>
      <c r="D907" s="10"/>
      <c r="E907" s="54"/>
    </row>
    <row r="908" ht="15.75" customHeight="1">
      <c r="A908" s="88"/>
      <c r="B908" s="6"/>
      <c r="C908" s="6"/>
      <c r="D908" s="10"/>
      <c r="E908" s="54"/>
    </row>
    <row r="909" ht="15.75" customHeight="1">
      <c r="A909" s="88"/>
      <c r="B909" s="6"/>
      <c r="C909" s="6"/>
      <c r="D909" s="10"/>
      <c r="E909" s="54"/>
    </row>
    <row r="910" ht="15.75" customHeight="1">
      <c r="A910" s="88"/>
      <c r="B910" s="6"/>
      <c r="C910" s="6"/>
      <c r="D910" s="10"/>
      <c r="E910" s="54"/>
    </row>
    <row r="911" ht="15.75" customHeight="1">
      <c r="A911" s="88"/>
      <c r="B911" s="6"/>
      <c r="C911" s="6"/>
      <c r="D911" s="10"/>
      <c r="E911" s="54"/>
    </row>
    <row r="912" ht="15.75" customHeight="1">
      <c r="A912" s="88"/>
      <c r="B912" s="6"/>
      <c r="C912" s="6"/>
      <c r="D912" s="10"/>
      <c r="E912" s="54"/>
    </row>
    <row r="913" ht="15.75" customHeight="1">
      <c r="A913" s="88"/>
      <c r="B913" s="6"/>
      <c r="C913" s="6"/>
      <c r="D913" s="10"/>
      <c r="E913" s="54"/>
    </row>
    <row r="914" ht="15.75" customHeight="1">
      <c r="A914" s="88"/>
      <c r="B914" s="6"/>
      <c r="C914" s="6"/>
      <c r="D914" s="10"/>
      <c r="E914" s="54"/>
    </row>
    <row r="915" ht="15.75" customHeight="1">
      <c r="A915" s="88"/>
      <c r="B915" s="6"/>
      <c r="C915" s="6"/>
      <c r="D915" s="10"/>
      <c r="E915" s="54"/>
    </row>
    <row r="916" ht="15.75" customHeight="1">
      <c r="A916" s="88"/>
      <c r="B916" s="6"/>
      <c r="C916" s="6"/>
      <c r="D916" s="10"/>
      <c r="E916" s="54"/>
    </row>
    <row r="917" ht="15.75" customHeight="1">
      <c r="A917" s="88"/>
      <c r="B917" s="6"/>
      <c r="C917" s="6"/>
      <c r="D917" s="10"/>
      <c r="E917" s="54"/>
    </row>
    <row r="918" ht="15.75" customHeight="1">
      <c r="A918" s="88"/>
      <c r="B918" s="6"/>
      <c r="C918" s="6"/>
      <c r="D918" s="10"/>
      <c r="E918" s="54"/>
    </row>
    <row r="919" ht="15.75" customHeight="1">
      <c r="A919" s="88"/>
      <c r="B919" s="6"/>
      <c r="C919" s="6"/>
      <c r="D919" s="10"/>
      <c r="E919" s="54"/>
    </row>
    <row r="920" ht="15.75" customHeight="1">
      <c r="A920" s="88"/>
      <c r="B920" s="6"/>
      <c r="C920" s="6"/>
      <c r="D920" s="10"/>
      <c r="E920" s="54"/>
    </row>
    <row r="921" ht="15.75" customHeight="1">
      <c r="A921" s="88"/>
      <c r="B921" s="6"/>
      <c r="C921" s="6"/>
      <c r="D921" s="10"/>
      <c r="E921" s="54"/>
    </row>
    <row r="922" ht="15.75" customHeight="1">
      <c r="A922" s="88"/>
      <c r="B922" s="6"/>
      <c r="C922" s="6"/>
      <c r="D922" s="10"/>
      <c r="E922" s="54"/>
    </row>
    <row r="923" ht="15.75" customHeight="1">
      <c r="A923" s="88"/>
      <c r="B923" s="6"/>
      <c r="C923" s="6"/>
      <c r="D923" s="10"/>
      <c r="E923" s="54"/>
    </row>
    <row r="924" ht="15.75" customHeight="1">
      <c r="A924" s="88"/>
      <c r="B924" s="6"/>
      <c r="C924" s="6"/>
      <c r="D924" s="10"/>
      <c r="E924" s="54"/>
    </row>
    <row r="925" ht="15.75" customHeight="1">
      <c r="A925" s="88"/>
      <c r="B925" s="6"/>
      <c r="C925" s="6"/>
      <c r="D925" s="10"/>
      <c r="E925" s="54"/>
    </row>
    <row r="926" ht="15.75" customHeight="1">
      <c r="A926" s="88"/>
      <c r="B926" s="6"/>
      <c r="C926" s="6"/>
      <c r="D926" s="10"/>
      <c r="E926" s="54"/>
    </row>
    <row r="927" ht="15.75" customHeight="1">
      <c r="A927" s="88"/>
      <c r="B927" s="6"/>
      <c r="C927" s="6"/>
      <c r="D927" s="10"/>
      <c r="E927" s="54"/>
    </row>
    <row r="928" ht="15.75" customHeight="1">
      <c r="A928" s="88"/>
      <c r="B928" s="6"/>
      <c r="C928" s="6"/>
      <c r="D928" s="10"/>
      <c r="E928" s="54"/>
    </row>
    <row r="929" ht="15.75" customHeight="1">
      <c r="A929" s="88"/>
      <c r="B929" s="6"/>
      <c r="C929" s="6"/>
      <c r="D929" s="10"/>
      <c r="E929" s="54"/>
    </row>
    <row r="930" ht="15.75" customHeight="1">
      <c r="A930" s="88"/>
      <c r="B930" s="6"/>
      <c r="C930" s="6"/>
      <c r="D930" s="10"/>
      <c r="E930" s="54"/>
    </row>
    <row r="931" ht="15.75" customHeight="1">
      <c r="A931" s="88"/>
      <c r="B931" s="6"/>
      <c r="C931" s="6"/>
      <c r="D931" s="10"/>
      <c r="E931" s="54"/>
    </row>
    <row r="932" ht="15.75" customHeight="1">
      <c r="A932" s="88"/>
      <c r="B932" s="6"/>
      <c r="C932" s="6"/>
      <c r="D932" s="10"/>
      <c r="E932" s="54"/>
    </row>
    <row r="933" ht="15.75" customHeight="1">
      <c r="A933" s="88"/>
      <c r="B933" s="6"/>
      <c r="C933" s="6"/>
      <c r="D933" s="10"/>
      <c r="E933" s="54"/>
    </row>
    <row r="934" ht="15.75" customHeight="1">
      <c r="A934" s="88"/>
      <c r="B934" s="6"/>
      <c r="C934" s="6"/>
      <c r="D934" s="10"/>
      <c r="E934" s="54"/>
    </row>
    <row r="935" ht="15.75" customHeight="1">
      <c r="A935" s="88"/>
      <c r="B935" s="6"/>
      <c r="C935" s="6"/>
      <c r="D935" s="10"/>
      <c r="E935" s="54"/>
    </row>
    <row r="936" ht="15.75" customHeight="1">
      <c r="A936" s="88"/>
      <c r="B936" s="6"/>
      <c r="C936" s="6"/>
      <c r="D936" s="10"/>
      <c r="E936" s="54"/>
    </row>
    <row r="937" ht="15.75" customHeight="1">
      <c r="A937" s="88"/>
      <c r="B937" s="6"/>
      <c r="C937" s="6"/>
      <c r="D937" s="10"/>
      <c r="E937" s="54"/>
    </row>
    <row r="938" ht="15.75" customHeight="1">
      <c r="A938" s="88"/>
      <c r="B938" s="6"/>
      <c r="C938" s="6"/>
      <c r="D938" s="10"/>
      <c r="E938" s="54"/>
    </row>
    <row r="939" ht="15.75" customHeight="1">
      <c r="A939" s="88"/>
      <c r="B939" s="6"/>
      <c r="C939" s="6"/>
      <c r="D939" s="10"/>
      <c r="E939" s="54"/>
    </row>
    <row r="940" ht="15.75" customHeight="1">
      <c r="A940" s="88"/>
      <c r="B940" s="6"/>
      <c r="C940" s="6"/>
      <c r="D940" s="10"/>
      <c r="E940" s="54"/>
    </row>
    <row r="941" ht="15.75" customHeight="1">
      <c r="A941" s="88"/>
      <c r="B941" s="6"/>
      <c r="C941" s="6"/>
      <c r="D941" s="10"/>
      <c r="E941" s="54"/>
    </row>
    <row r="942" ht="15.75" customHeight="1">
      <c r="A942" s="88"/>
      <c r="B942" s="6"/>
      <c r="C942" s="6"/>
      <c r="D942" s="10"/>
      <c r="E942" s="54"/>
    </row>
    <row r="943" ht="15.75" customHeight="1">
      <c r="A943" s="88"/>
      <c r="B943" s="6"/>
      <c r="C943" s="6"/>
      <c r="D943" s="10"/>
      <c r="E943" s="54"/>
    </row>
    <row r="944" ht="15.75" customHeight="1">
      <c r="A944" s="88"/>
      <c r="B944" s="6"/>
      <c r="C944" s="6"/>
      <c r="D944" s="10"/>
      <c r="E944" s="54"/>
    </row>
    <row r="945" ht="15.75" customHeight="1">
      <c r="A945" s="88"/>
      <c r="B945" s="6"/>
      <c r="C945" s="6"/>
      <c r="D945" s="10"/>
      <c r="E945" s="54"/>
    </row>
    <row r="946" ht="15.75" customHeight="1">
      <c r="A946" s="88"/>
      <c r="B946" s="6"/>
      <c r="C946" s="6"/>
      <c r="D946" s="10"/>
      <c r="E946" s="54"/>
    </row>
    <row r="947" ht="15.75" customHeight="1">
      <c r="A947" s="88"/>
      <c r="B947" s="6"/>
      <c r="C947" s="6"/>
      <c r="D947" s="10"/>
      <c r="E947" s="54"/>
    </row>
    <row r="948" ht="15.75" customHeight="1">
      <c r="A948" s="88"/>
      <c r="B948" s="6"/>
      <c r="C948" s="6"/>
      <c r="D948" s="10"/>
      <c r="E948" s="54"/>
    </row>
    <row r="949" ht="15.75" customHeight="1">
      <c r="A949" s="88"/>
      <c r="B949" s="6"/>
      <c r="C949" s="6"/>
      <c r="D949" s="10"/>
      <c r="E949" s="54"/>
    </row>
    <row r="950" ht="15.75" customHeight="1">
      <c r="A950" s="88"/>
      <c r="B950" s="6"/>
      <c r="C950" s="6"/>
      <c r="D950" s="10"/>
      <c r="E950" s="54"/>
    </row>
    <row r="951" ht="15.75" customHeight="1">
      <c r="A951" s="88"/>
      <c r="B951" s="6"/>
      <c r="C951" s="6"/>
      <c r="D951" s="10"/>
      <c r="E951" s="54"/>
    </row>
    <row r="952" ht="15.75" customHeight="1">
      <c r="A952" s="88"/>
      <c r="B952" s="6"/>
      <c r="C952" s="6"/>
      <c r="D952" s="10"/>
      <c r="E952" s="54"/>
    </row>
    <row r="953" ht="15.75" customHeight="1">
      <c r="A953" s="88"/>
      <c r="B953" s="6"/>
      <c r="C953" s="6"/>
      <c r="D953" s="10"/>
      <c r="E953" s="54"/>
    </row>
    <row r="954" ht="15.75" customHeight="1">
      <c r="A954" s="88"/>
      <c r="B954" s="6"/>
      <c r="C954" s="6"/>
      <c r="D954" s="10"/>
      <c r="E954" s="54"/>
    </row>
    <row r="955" ht="15.75" customHeight="1">
      <c r="A955" s="88"/>
      <c r="B955" s="6"/>
      <c r="C955" s="6"/>
      <c r="D955" s="10"/>
      <c r="E955" s="54"/>
    </row>
    <row r="956" ht="15.75" customHeight="1">
      <c r="A956" s="88"/>
      <c r="B956" s="6"/>
      <c r="C956" s="6"/>
      <c r="D956" s="10"/>
      <c r="E956" s="54"/>
    </row>
    <row r="957" ht="15.75" customHeight="1">
      <c r="A957" s="88"/>
      <c r="B957" s="6"/>
      <c r="C957" s="6"/>
      <c r="D957" s="10"/>
      <c r="E957" s="54"/>
    </row>
    <row r="958" ht="15.75" customHeight="1">
      <c r="A958" s="88"/>
      <c r="B958" s="6"/>
      <c r="C958" s="6"/>
      <c r="D958" s="10"/>
      <c r="E958" s="54"/>
    </row>
    <row r="959" ht="15.75" customHeight="1">
      <c r="A959" s="88"/>
      <c r="B959" s="6"/>
      <c r="C959" s="6"/>
      <c r="D959" s="10"/>
      <c r="E959" s="54"/>
    </row>
    <row r="960" ht="15.75" customHeight="1">
      <c r="A960" s="88"/>
      <c r="B960" s="6"/>
      <c r="C960" s="6"/>
      <c r="D960" s="10"/>
      <c r="E960" s="54"/>
    </row>
    <row r="961" ht="15.75" customHeight="1">
      <c r="A961" s="88"/>
      <c r="B961" s="6"/>
      <c r="C961" s="6"/>
      <c r="D961" s="10"/>
      <c r="E961" s="54"/>
    </row>
    <row r="962" ht="15.75" customHeight="1">
      <c r="A962" s="88"/>
      <c r="B962" s="6"/>
      <c r="C962" s="6"/>
      <c r="D962" s="10"/>
      <c r="E962" s="54"/>
    </row>
    <row r="963" ht="15.75" customHeight="1">
      <c r="A963" s="88"/>
      <c r="B963" s="6"/>
      <c r="C963" s="6"/>
      <c r="D963" s="10"/>
      <c r="E963" s="54"/>
    </row>
    <row r="964" ht="15.75" customHeight="1">
      <c r="A964" s="88"/>
      <c r="B964" s="6"/>
      <c r="C964" s="6"/>
      <c r="D964" s="10"/>
      <c r="E964" s="54"/>
    </row>
    <row r="965" ht="15.75" customHeight="1">
      <c r="A965" s="88"/>
      <c r="B965" s="6"/>
      <c r="C965" s="6"/>
      <c r="D965" s="10"/>
      <c r="E965" s="54"/>
    </row>
    <row r="966" ht="15.75" customHeight="1">
      <c r="A966" s="88"/>
      <c r="B966" s="6"/>
      <c r="C966" s="6"/>
      <c r="D966" s="10"/>
      <c r="E966" s="54"/>
    </row>
    <row r="967" ht="15.75" customHeight="1">
      <c r="A967" s="88"/>
      <c r="B967" s="6"/>
      <c r="C967" s="6"/>
      <c r="D967" s="10"/>
      <c r="E967" s="54"/>
    </row>
    <row r="968" ht="15.75" customHeight="1">
      <c r="A968" s="88"/>
      <c r="B968" s="6"/>
      <c r="C968" s="6"/>
      <c r="D968" s="10"/>
      <c r="E968" s="54"/>
    </row>
    <row r="969" ht="15.75" customHeight="1">
      <c r="A969" s="88"/>
      <c r="B969" s="6"/>
      <c r="C969" s="6"/>
      <c r="D969" s="10"/>
      <c r="E969" s="54"/>
    </row>
    <row r="970" ht="15.75" customHeight="1">
      <c r="A970" s="88"/>
      <c r="B970" s="6"/>
      <c r="C970" s="6"/>
      <c r="D970" s="10"/>
      <c r="E970" s="54"/>
    </row>
    <row r="971" ht="15.75" customHeight="1">
      <c r="A971" s="88"/>
      <c r="B971" s="6"/>
      <c r="C971" s="6"/>
      <c r="D971" s="10"/>
      <c r="E971" s="54"/>
    </row>
    <row r="972" ht="15.75" customHeight="1">
      <c r="A972" s="88"/>
      <c r="B972" s="6"/>
      <c r="C972" s="6"/>
      <c r="D972" s="10"/>
      <c r="E972" s="54"/>
    </row>
    <row r="973" ht="15.75" customHeight="1">
      <c r="A973" s="88"/>
      <c r="B973" s="6"/>
      <c r="C973" s="6"/>
      <c r="D973" s="10"/>
      <c r="E973" s="54"/>
    </row>
    <row r="974" ht="15.75" customHeight="1">
      <c r="A974" s="88"/>
      <c r="B974" s="6"/>
      <c r="C974" s="6"/>
      <c r="D974" s="10"/>
      <c r="E974" s="54"/>
    </row>
    <row r="975" ht="15.75" customHeight="1">
      <c r="A975" s="88"/>
      <c r="B975" s="6"/>
      <c r="C975" s="6"/>
      <c r="D975" s="10"/>
      <c r="E975" s="54"/>
    </row>
    <row r="976" ht="15.75" customHeight="1">
      <c r="A976" s="88"/>
      <c r="B976" s="6"/>
      <c r="C976" s="6"/>
      <c r="D976" s="10"/>
      <c r="E976" s="54"/>
    </row>
    <row r="977" ht="15.75" customHeight="1">
      <c r="A977" s="88"/>
      <c r="B977" s="6"/>
      <c r="C977" s="6"/>
      <c r="D977" s="10"/>
      <c r="E977" s="54"/>
    </row>
    <row r="978" ht="15.75" customHeight="1">
      <c r="A978" s="88"/>
      <c r="B978" s="6"/>
      <c r="C978" s="6"/>
      <c r="D978" s="10"/>
      <c r="E978" s="54"/>
    </row>
    <row r="979" ht="15.75" customHeight="1">
      <c r="A979" s="88"/>
      <c r="B979" s="6"/>
      <c r="C979" s="6"/>
      <c r="D979" s="10"/>
      <c r="E979" s="54"/>
    </row>
    <row r="980" ht="15.75" customHeight="1">
      <c r="A980" s="88"/>
      <c r="B980" s="6"/>
      <c r="C980" s="6"/>
      <c r="D980" s="10"/>
      <c r="E980" s="54"/>
    </row>
    <row r="981" ht="15.75" customHeight="1">
      <c r="A981" s="88"/>
      <c r="B981" s="6"/>
      <c r="C981" s="6"/>
      <c r="D981" s="10"/>
      <c r="E981" s="54"/>
    </row>
    <row r="982" ht="15.75" customHeight="1">
      <c r="A982" s="88"/>
      <c r="B982" s="6"/>
      <c r="C982" s="6"/>
      <c r="D982" s="10"/>
      <c r="E982" s="54"/>
    </row>
    <row r="983" ht="15.75" customHeight="1">
      <c r="A983" s="88"/>
      <c r="B983" s="6"/>
      <c r="C983" s="6"/>
      <c r="D983" s="10"/>
      <c r="E983" s="54"/>
    </row>
    <row r="984" ht="15.75" customHeight="1">
      <c r="A984" s="88"/>
      <c r="B984" s="6"/>
      <c r="C984" s="6"/>
      <c r="D984" s="10"/>
      <c r="E984" s="54"/>
    </row>
    <row r="985" ht="15.75" customHeight="1">
      <c r="A985" s="88"/>
      <c r="B985" s="6"/>
      <c r="C985" s="6"/>
      <c r="D985" s="10"/>
      <c r="E985" s="54"/>
    </row>
    <row r="986" ht="15.75" customHeight="1">
      <c r="A986" s="88"/>
      <c r="B986" s="6"/>
      <c r="C986" s="6"/>
      <c r="D986" s="10"/>
      <c r="E986" s="54"/>
    </row>
    <row r="987" ht="15.75" customHeight="1">
      <c r="A987" s="88"/>
      <c r="B987" s="6"/>
      <c r="C987" s="6"/>
      <c r="D987" s="10"/>
      <c r="E987" s="54"/>
    </row>
    <row r="988" ht="15.75" customHeight="1">
      <c r="A988" s="88"/>
      <c r="B988" s="6"/>
      <c r="C988" s="6"/>
      <c r="D988" s="10"/>
      <c r="E988" s="54"/>
    </row>
    <row r="989" ht="15.75" customHeight="1">
      <c r="A989" s="88"/>
      <c r="B989" s="6"/>
      <c r="C989" s="6"/>
      <c r="D989" s="10"/>
      <c r="E989" s="54"/>
    </row>
    <row r="990" ht="15.75" customHeight="1">
      <c r="A990" s="88"/>
      <c r="B990" s="6"/>
      <c r="C990" s="6"/>
      <c r="D990" s="10"/>
      <c r="E990" s="54"/>
    </row>
    <row r="991" ht="15.75" customHeight="1">
      <c r="A991" s="88"/>
      <c r="B991" s="6"/>
      <c r="C991" s="6"/>
      <c r="D991" s="10"/>
      <c r="E991" s="54"/>
    </row>
    <row r="992" ht="15.75" customHeight="1">
      <c r="A992" s="88"/>
      <c r="B992" s="6"/>
      <c r="C992" s="6"/>
      <c r="D992" s="10"/>
      <c r="E992" s="54"/>
    </row>
    <row r="993" ht="15.75" customHeight="1">
      <c r="A993" s="88"/>
      <c r="B993" s="6"/>
      <c r="C993" s="6"/>
      <c r="D993" s="10"/>
      <c r="E993" s="54"/>
    </row>
    <row r="994" ht="15.75" customHeight="1">
      <c r="A994" s="88"/>
      <c r="B994" s="6"/>
      <c r="C994" s="6"/>
      <c r="D994" s="10"/>
      <c r="E994" s="54"/>
    </row>
    <row r="995" ht="15.75" customHeight="1">
      <c r="A995" s="88"/>
      <c r="B995" s="6"/>
      <c r="C995" s="6"/>
      <c r="D995" s="10"/>
      <c r="E995" s="54"/>
    </row>
    <row r="996" ht="15.75" customHeight="1">
      <c r="A996" s="88"/>
      <c r="B996" s="6"/>
      <c r="C996" s="6"/>
      <c r="D996" s="10"/>
      <c r="E996" s="54"/>
    </row>
    <row r="997" ht="15.75" customHeight="1">
      <c r="A997" s="88"/>
      <c r="B997" s="6"/>
      <c r="C997" s="6"/>
      <c r="D997" s="10"/>
      <c r="E997" s="54"/>
    </row>
    <row r="998" ht="15.75" customHeight="1">
      <c r="A998" s="88"/>
      <c r="B998" s="6"/>
      <c r="C998" s="6"/>
      <c r="D998" s="10"/>
      <c r="E998" s="54"/>
    </row>
    <row r="999" ht="15.75" customHeight="1">
      <c r="A999" s="88"/>
      <c r="B999" s="6"/>
      <c r="C999" s="6"/>
      <c r="D999" s="10"/>
      <c r="E999" s="54"/>
    </row>
    <row r="1000" ht="15.75" customHeight="1">
      <c r="A1000" s="88"/>
      <c r="B1000" s="6"/>
      <c r="C1000" s="6"/>
      <c r="D1000" s="10"/>
      <c r="E1000" s="54"/>
    </row>
  </sheetData>
  <mergeCells count="15">
    <mergeCell ref="A65:B65"/>
    <mergeCell ref="A73:B73"/>
    <mergeCell ref="A83:B83"/>
    <mergeCell ref="A89:B89"/>
    <mergeCell ref="A93:B93"/>
    <mergeCell ref="A97:B97"/>
    <mergeCell ref="A106:B106"/>
    <mergeCell ref="A112:B112"/>
    <mergeCell ref="A21:D21"/>
    <mergeCell ref="A24:B24"/>
    <mergeCell ref="A30:B30"/>
    <mergeCell ref="A43:B43"/>
    <mergeCell ref="A49:B49"/>
    <mergeCell ref="A54:B54"/>
    <mergeCell ref="A58:B58"/>
  </mergeCells>
  <conditionalFormatting sqref="C19">
    <cfRule type="containsText" dxfId="0" priority="1" operator="containsText" text="5">
      <formula>NOT(ISERROR(SEARCH(("5"),(C19))))</formula>
    </cfRule>
  </conditionalFormatting>
  <conditionalFormatting sqref="C19">
    <cfRule type="containsText" dxfId="0" priority="2" operator="containsText" text="4">
      <formula>NOT(ISERROR(SEARCH(("4"),(C19))))</formula>
    </cfRule>
  </conditionalFormatting>
  <conditionalFormatting sqref="C19">
    <cfRule type="containsText" dxfId="0" priority="3" operator="containsText" text="3">
      <formula>NOT(ISERROR(SEARCH(("3"),(C19))))</formula>
    </cfRule>
  </conditionalFormatting>
  <conditionalFormatting sqref="C19">
    <cfRule type="containsText" dxfId="1" priority="4" operator="containsText" text="2">
      <formula>NOT(ISERROR(SEARCH(("2"),(C19))))</formula>
    </cfRule>
  </conditionalFormatting>
  <conditionalFormatting sqref="C19">
    <cfRule type="containsText" dxfId="2" priority="5" operator="containsText" text="1">
      <formula>NOT(ISERROR(SEARCH(("1"),(C19))))</formula>
    </cfRule>
  </conditionalFormatting>
  <conditionalFormatting sqref="D1:D1000">
    <cfRule type="containsText" dxfId="2" priority="6" operator="containsText" text="Pendiente calificar">
      <formula>NOT(ISERROR(SEARCH(("Pendiente calificar"),(D1))))</formula>
    </cfRule>
  </conditionalFormatting>
  <conditionalFormatting sqref="E1:E1000">
    <cfRule type="cellIs" dxfId="3" priority="7" operator="greaterThan">
      <formula>0</formula>
    </cfRule>
  </conditionalFormatting>
  <conditionalFormatting sqref="E28">
    <cfRule type="expression" dxfId="4" priority="8">
      <formula>$D$28&lt;&gt;"Pendiente calificar"</formula>
    </cfRule>
  </conditionalFormatting>
  <conditionalFormatting sqref="E29">
    <cfRule type="expression" dxfId="4" priority="9">
      <formula>$D$29&lt;&gt;"Pendiente calificar"</formula>
    </cfRule>
  </conditionalFormatting>
  <conditionalFormatting sqref="E34">
    <cfRule type="expression" dxfId="4" priority="10">
      <formula>$D$34&lt;&gt;"Pendiente calificar"</formula>
    </cfRule>
  </conditionalFormatting>
  <conditionalFormatting sqref="E39">
    <cfRule type="expression" dxfId="4" priority="11">
      <formula>$D$39&lt;&gt;"Pendiente calificar"</formula>
    </cfRule>
  </conditionalFormatting>
  <conditionalFormatting sqref="E40:E42">
    <cfRule type="expression" dxfId="4" priority="12">
      <formula>$D$40&lt;&gt;"Pendiente calificar"</formula>
    </cfRule>
  </conditionalFormatting>
  <conditionalFormatting sqref="E55">
    <cfRule type="expression" dxfId="4" priority="13">
      <formula>$D$55&lt;&gt;"Pendiente calificar"</formula>
    </cfRule>
  </conditionalFormatting>
  <conditionalFormatting sqref="E56">
    <cfRule type="expression" dxfId="4" priority="14">
      <formula>$D$56&lt;&gt;"Pendiente calificar"</formula>
    </cfRule>
  </conditionalFormatting>
  <conditionalFormatting sqref="E62">
    <cfRule type="expression" dxfId="4" priority="15">
      <formula>$D$62&lt;&gt;"Pendiente calificar"</formula>
    </cfRule>
  </conditionalFormatting>
  <conditionalFormatting sqref="E63">
    <cfRule type="expression" dxfId="4" priority="16">
      <formula>$D$63&lt;&gt;"Pendiente calificar"</formula>
    </cfRule>
  </conditionalFormatting>
  <conditionalFormatting sqref="E84">
    <cfRule type="expression" dxfId="4" priority="17">
      <formula>$D$84&lt;&gt;"Pendiente calificar"</formula>
    </cfRule>
  </conditionalFormatting>
  <conditionalFormatting sqref="E86">
    <cfRule type="expression" dxfId="4" priority="18">
      <formula>$D$86&lt;&gt;"Pendiente calificar"</formula>
    </cfRule>
  </conditionalFormatting>
  <conditionalFormatting sqref="E87">
    <cfRule type="expression" dxfId="4" priority="19">
      <formula>$D$87&lt;&gt;"Pendiente calificar"</formula>
    </cfRule>
  </conditionalFormatting>
  <conditionalFormatting sqref="E91">
    <cfRule type="expression" dxfId="4" priority="20">
      <formula>$D$91&lt;&gt;"Pendiente calificar"</formula>
    </cfRule>
  </conditionalFormatting>
  <conditionalFormatting sqref="E96">
    <cfRule type="expression" dxfId="4" priority="21">
      <formula>$D$96&lt;&gt;"Pendiente calificar"</formula>
    </cfRule>
  </conditionalFormatting>
  <conditionalFormatting sqref="E100">
    <cfRule type="expression" dxfId="4" priority="22">
      <formula>$D$100&lt;&gt;"Pendiente calificar"</formula>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2024-06-04T14:09:10Z</dcterms:created>
  <dc:creator>Mariandre Velasquez Gonzalez</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0x0101007875F81CE73FD246A77345516F6485B3</vt:lpwstr>
  </property>
  <property fmtid="{D5CDD505-2E9C-101B-9397-08002B2CF9AE}" pid="3" name="MediaServiceImageTags">
    <vt:lpwstr/>
  </property>
  <property fmtid="{D5CDD505-2E9C-101B-9397-08002B2CF9AE}" pid="4" name="MSIP_Label_4a3e77f5-dec5-4f25-9942-194747e369e7_Enabled">
    <vt:lpwstr>true</vt:lpwstr>
  </property>
  <property fmtid="{D5CDD505-2E9C-101B-9397-08002B2CF9AE}" pid="5" name="MSIP_Label_4a3e77f5-dec5-4f25-9942-194747e369e7_SetDate">
    <vt:lpwstr>2025-09-24T21:16:54Z</vt:lpwstr>
  </property>
  <property fmtid="{D5CDD505-2E9C-101B-9397-08002B2CF9AE}" pid="6" name="MSIP_Label_4a3e77f5-dec5-4f25-9942-194747e369e7_Method">
    <vt:lpwstr>Standard</vt:lpwstr>
  </property>
  <property fmtid="{D5CDD505-2E9C-101B-9397-08002B2CF9AE}" pid="7" name="MSIP_Label_4a3e77f5-dec5-4f25-9942-194747e369e7_Name">
    <vt:lpwstr>Grupo Agromercantil Clasificación – Interna</vt:lpwstr>
  </property>
  <property fmtid="{D5CDD505-2E9C-101B-9397-08002B2CF9AE}" pid="8" name="MSIP_Label_4a3e77f5-dec5-4f25-9942-194747e369e7_SiteId">
    <vt:lpwstr>b5e244bd-c492-495b-8b10-61bfd453e423</vt:lpwstr>
  </property>
  <property fmtid="{D5CDD505-2E9C-101B-9397-08002B2CF9AE}" pid="9" name="MSIP_Label_4a3e77f5-dec5-4f25-9942-194747e369e7_ActionId">
    <vt:lpwstr>1888e386-2411-4110-9d8c-d07773df8e55</vt:lpwstr>
  </property>
  <property fmtid="{D5CDD505-2E9C-101B-9397-08002B2CF9AE}" pid="10" name="MSIP_Label_4a3e77f5-dec5-4f25-9942-194747e369e7_ContentBits">
    <vt:lpwstr>0</vt:lpwstr>
  </property>
  <property fmtid="{D5CDD505-2E9C-101B-9397-08002B2CF9AE}" pid="11" name="MSIP_Label_4a3e77f5-dec5-4f25-9942-194747e369e7_Tag">
    <vt:lpwstr>10, 3, 0, 1</vt:lpwstr>
  </property>
</Properties>
</file>