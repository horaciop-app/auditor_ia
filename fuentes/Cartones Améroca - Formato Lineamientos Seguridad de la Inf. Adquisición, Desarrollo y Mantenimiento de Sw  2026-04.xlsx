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Mi PC\Intiza\Proyectos\Cuestionarios Seguridad Clientes\Cartones America\"/>
    </mc:Choice>
  </mc:AlternateContent>
  <xr:revisionPtr revIDLastSave="0" documentId="13_ncr:1_{E5082DC4-7E9D-46C5-9AC4-598F003CEA66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Lineamientos SI" sheetId="1" state="hidden" r:id="rId1"/>
    <sheet name="Lineamientos SI (2)" sheetId="2" state="hidden" r:id="rId2"/>
    <sheet name="Lineamientos SI(3)" sheetId="6" state="hidden" r:id="rId3"/>
    <sheet name="MENU" sheetId="8" r:id="rId4"/>
    <sheet name="SW como Servicio" sheetId="7" r:id="rId5"/>
    <sheet name="SW como Servicio_base" sheetId="4" state="hidden" r:id="rId6"/>
    <sheet name="Desarrollo" sheetId="5" r:id="rId7"/>
    <sheet name="Hoja1" sheetId="3" state="hidden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7" l="1"/>
  <c r="C67" i="5"/>
  <c r="C97" i="4"/>
  <c r="C95" i="6" l="1"/>
  <c r="C94" i="2"/>
</calcChain>
</file>

<file path=xl/sharedStrings.xml><?xml version="1.0" encoding="utf-8"?>
<sst xmlns="http://schemas.openxmlformats.org/spreadsheetml/2006/main" count="586" uniqueCount="202">
  <si>
    <t xml:space="preserve"> 
Llineamientos de Seguridad de la Información en los procesos de Adquisición, Desarrollo y Mantenimiento de Software en Cartones América</t>
  </si>
  <si>
    <t xml:space="preserve">Objetivo: </t>
  </si>
  <si>
    <t xml:space="preserve">Definir los lineamientos de Seguridad de la Información en los procesos de Adquisición, Desarrollo y Mantenimiento de Software en Cartones América, con el objetivo de implementar controles para mitigar riesgos y dar cumplimiento a las Políticas de Seguridad de la Información de la organización. </t>
  </si>
  <si>
    <t xml:space="preserve">Software, Sistema de Información y/o Plataforma: </t>
  </si>
  <si>
    <t xml:space="preserve">Nota: </t>
  </si>
  <si>
    <t xml:space="preserve">para los controles que no aplican debido al tipo de solución, colocar N/A y la justificación </t>
  </si>
  <si>
    <t>ID REQ </t>
  </si>
  <si>
    <t>DESCRIPCIÓN DEL REQUISITO</t>
  </si>
  <si>
    <t>DESCRIPCIÓN DEL CONTROL</t>
  </si>
  <si>
    <t>RESPONSABLE DEL CONTROL</t>
  </si>
  <si>
    <t>CIFRADO </t>
  </si>
  <si>
    <t>RS_001 </t>
  </si>
  <si>
    <t>• Los datos de información personal almacenados en las base de datos, deben estar enmascarados, con algoritmos fuertes y contraseñas robustas. </t>
  </si>
  <si>
    <t>RS_002 </t>
  </si>
  <si>
    <t>• El canal de comunicación debe estar cifrado, cuando se transmiten/intercambian datos de información personal.   </t>
  </si>
  <si>
    <t>RS_003 </t>
  </si>
  <si>
    <t>• El protocolo de cifrado de las comunicaciones debe utilizar TLS 1.3 o superior. </t>
  </si>
  <si>
    <t>CONTROL DE ACCESO </t>
  </si>
  <si>
    <t xml:space="preserve">CONTROL DE ACCESO </t>
  </si>
  <si>
    <t>• Se debe otorgar privilegios de acceso a la información a los usuarios, según las funciones del cargo (roles y perfiles). </t>
  </si>
  <si>
    <t>• La herramienta debe contar con un módulo de administración de usuarios, que permita segregar las funciones según las responsabilidades asignadas (administradores, usuarios, auditor, etc). </t>
  </si>
  <si>
    <t>• La herramienta debe realizar el bloqueo de las cuentas después de varios intentos fallidos de autenticación. </t>
  </si>
  <si>
    <t>RS_004 </t>
  </si>
  <si>
    <t>• Se debe tener un timeout de sesión inicial de 5 minutos de inactividad y debe ser parametrizable. </t>
  </si>
  <si>
    <t>RS_005 </t>
  </si>
  <si>
    <t>• El portal web no debe permitir a través del navegador almacenar el histórico de usuarios autenticados.  </t>
  </si>
  <si>
    <t>RS_006 </t>
  </si>
  <si>
    <t>• La plataforma donde se implemente la solución debe permitir la configuración de listas de control de acceso (listas blancas de dominios de confianza). </t>
  </si>
  <si>
    <t>AUDITORIA DE SEGURIDAD </t>
  </si>
  <si>
    <t xml:space="preserve">AUDITORIA DE SEGURIDAD </t>
  </si>
  <si>
    <t>Logs de Auditoría:  </t>
  </si>
  <si>
    <t>Errores que se presentan en las herramientas. </t>
  </si>
  <si>
    <t>Actividad de los usuarios finales y usuarios administradores. </t>
  </si>
  <si>
    <t>Creación, modificación, habilitación, deshabilitación y eliminación de privilegios de acceso. </t>
  </si>
  <si>
    <t>GESTIÓN DE VULNERABILIDADES </t>
  </si>
  <si>
    <t xml:space="preserve">GESTIÓN DE VULNERABILIDADES </t>
  </si>
  <si>
    <t xml:space="preserve">• Tener en cuenta las mejores prácticas de desarrollo de código seguro, tales como: guía Top 10 OWASP (seguridad en las aplicaciones web),  a fin de evitar riesgos de seguridad, como por ejemplo: accesos no autorizados o ataques de inyección de código.  </t>
  </si>
  <si>
    <t>• Estándares de configuración de segura en los servidores de aplicación y base de datos. (Guías de Hardenning). </t>
  </si>
  <si>
    <t>•Garantizar que los cambios realizados en los sistemas de información se revisan realizando un procedimiento de escaneo de vulnerabilidades para detectar código malicioso y estableciendo planes de remediación. </t>
  </si>
  <si>
    <t>•El fabricante de los componentes de la solución debe proporcionar actualizaciones periódicas de seguridad y remediación de vulnerabilidades encontradas. </t>
  </si>
  <si>
    <t>GENERALIDADES </t>
  </si>
  <si>
    <t xml:space="preserve">GENERALIDADES </t>
  </si>
  <si>
    <t>•Si la solución requiere integraciones con otras plataformas, tener en cuenta la guía NIST 800-95 (desarrollo seguro de los web services). </t>
  </si>
  <si>
    <t>Continuidad tecnológica:  </t>
  </si>
  <si>
    <t>•Garantizar la continuidad del servicio de TI a través de un plan de continuidad tecnológica. </t>
  </si>
  <si>
    <t>• Se deben definir políticas para el respaldo de la información y procedimientos de restauración de los datos. </t>
  </si>
  <si>
    <t>• Definir ANS de disponibilidad. </t>
  </si>
  <si>
    <t>• Clasificación de la Información: Se debe realizar un inventario de activos de información con el fin de identificar la información y valorarla según su nivel de criticidad. </t>
  </si>
  <si>
    <t>• Requerimientos legales, regulatorios y normativos: acuerdos de confidencialidad, circulares, Ley Habeas Data (1582), etc. </t>
  </si>
  <si>
    <t>•Tener en cuenta los controles CCM v 3.0.1-Cloud. (Políticas de Seguridad en la Nube). </t>
  </si>
  <si>
    <t xml:space="preserve">RS_005 </t>
  </si>
  <si>
    <t>Las políticas de seguridad del proveedor de desarrollo debe estar alineada a las políticas de seguridad de Cartones América.  </t>
  </si>
  <si>
    <t xml:space="preserve">RS_006 </t>
  </si>
  <si>
    <t>La herramienta debe contar con mecanismos para validación de datos con el fin de evitar la introducción de datos incorrectos en las bases de datos y garantizar la integridad de la información. </t>
  </si>
  <si>
    <t>Los medios de almacenamiento cuentan con medidas de seguridad fisicas (incluyendo, sin sentido limitativo, a computadoras, medios extraibles electronicos, recibos de papel e informes de papel)</t>
  </si>
  <si>
    <t xml:space="preserve">¿Está el tránsito entrante y saliente restringido a la cantidad que sea necesaria en el entorno desarrollo y se documentan las restricciones? </t>
  </si>
  <si>
    <t>RECURSO HUMANO Y SEGURIDAD DE LA INFORMACIÓN</t>
  </si>
  <si>
    <t>HERRAMIENTAS DE SEGURIDAD</t>
  </si>
  <si>
    <t>¿El personal se encuentra capacitado en seguridad de la información y conoce sus buenas practicas?</t>
  </si>
  <si>
    <t>¿Se realizan capacitaciones de sensibilización en seguridad de la información, ciberseguridad y seguridad informatica?</t>
  </si>
  <si>
    <t>¿Existe una política de seguridad, establecida, publicada, mantenida y divulgada a todo el personal pertinente?</t>
  </si>
  <si>
    <t>¿Se desarrollan políticas de utilización para tecnologías críticas para definir el uso adecuado de dichas tecnologías?</t>
  </si>
  <si>
    <t>¿Se cuenta una política de uso aceptable de la tecnología?</t>
  </si>
  <si>
    <t>¿Se tienen definidos los riesgos y controles de seguridad de la información?</t>
  </si>
  <si>
    <t>¿Se cuenta con un procedimiento de gestión de incidentes de seguridad de la información y ciberseguridad?</t>
  </si>
  <si>
    <t>¿Esta la autenticación de dos factores incorporada a la red de empleados, administradores y terceros para el acceso remoto?</t>
  </si>
  <si>
    <t>¿Que herramientas de seguridad tienen implementadas?</t>
  </si>
  <si>
    <t>¿Se lleva un control estricto sobre la distribución interna o externa de cualquier tipo de medios?</t>
  </si>
  <si>
    <t>¿Como se protege las amenazas en medios extraibles?</t>
  </si>
  <si>
    <t>Los datos de información personal almacenados en las base de datos, deben estar enmascarados, con algoritmos fuertes y contraseñas robustas. </t>
  </si>
  <si>
    <t>El canal de comunicación debe estar cifrado, cuando se transmiten/intercambian datos de información personal.   </t>
  </si>
  <si>
    <t>COPIAS DE SEGURIDAD</t>
  </si>
  <si>
    <t>¿Cual es el periodo en que se realizan las copias?</t>
  </si>
  <si>
    <t>¿Se cuentan con controles fisicos y logicos de acceso a las copias de seguridad?</t>
  </si>
  <si>
    <t>¿Qué tipos de controles se tienen implementados?</t>
  </si>
  <si>
    <t>¿Se instala software antivirus en todos los sistemas?</t>
  </si>
  <si>
    <t>¿Todos los programas antivirus son capaces de detectar, eliminar y proteger contra todos los tipos conocidos de software malicioso?</t>
  </si>
  <si>
    <t>¿La política antivirus requiere actualizaciones y sus definiciones?</t>
  </si>
  <si>
    <t xml:space="preserve">¿Todos los programas antivirus son capaces de detectar, eliminar y proteger contra todos los tipos conocidos de software malicioso? </t>
  </si>
  <si>
    <t>¿Estan habilitadas las actualizaciones automaticas y los escaneos periodicos?</t>
  </si>
  <si>
    <t>REDES</t>
  </si>
  <si>
    <t>¿Las redes se encuentran segmentadas?</t>
  </si>
  <si>
    <t>¿Se protege el acceso a internet y de que manera?</t>
  </si>
  <si>
    <t>¿Las cuentas utilizadas por los proveedores para el acceso remoto, el mantenimiento o soporte estan habilitadas solo durante el periodo de tiempo necesario?</t>
  </si>
  <si>
    <t>¿Las cuentas de acceso remoto de los proveedores son supervisadas solo cuando estan utilizandose?</t>
  </si>
  <si>
    <t>¿Se restringen las configuraciónes para firewall y routers entre redes no confiables?</t>
  </si>
  <si>
    <t>¿Están instalados firewalls de perímetro entre las redes inalámbricas?</t>
  </si>
  <si>
    <t>¿Prohíbe la configuración de firewall el acceso directo público?</t>
  </si>
  <si>
    <t>¿Todos los componentes de sistemas y software cuentan con los parches de seguridad más recientes proporcionados por los proveedores para protección contra vulnerabilidades conocidas?</t>
  </si>
  <si>
    <t xml:space="preserve">¿Están clasificados los medios de manera que se pueda determinar la confidencialidad de los datos? </t>
  </si>
  <si>
    <t xml:space="preserve">¿Se lleva un control estricto sobre el almacenamiento y accesibilidad de los medios? </t>
  </si>
  <si>
    <t xml:space="preserve">¿Se destruyen todos los medios cuando ya no son necesarios por razones comerciales o legales? </t>
  </si>
  <si>
    <t xml:space="preserve"> ¿La metodología es capaz de detectar e identificar cualquier punto de acceso, incluyendo por lo menos lo siguiente:? 
• Tarjetas WLAN insertadas en los componentes del sistema; 
• Dispositivos inalámbricos portátiles conectados al sistema (por ejemplo, USB, etc.) 
• Dispositivos inalámbricos conectados a un puerto de red o a un dispositivo de red?</t>
  </si>
  <si>
    <t>¿Se debe otorgar privilegios de acceso a la información a los usuarios, según las funciones del cargo (roles y perfiles)?</t>
  </si>
  <si>
    <t>La herramienta debe contar con un módulo de administración de usuarios, que permita segregar las funciones según las responsabilidades asignadas (administradores, usuarios, auditor, etc). </t>
  </si>
  <si>
    <t>La herramienta debe realizar el bloqueo de las cuentas después de varios intentos fallidos de autenticación. </t>
  </si>
  <si>
    <t>Se debe tener un timeout de sesión inicial de 5 minutos de inactividad y debe ser parametrizable. </t>
  </si>
  <si>
    <t>El portal web no debe permitir a través del navegador almacenar el histórico de usuarios autenticados.  </t>
  </si>
  <si>
    <t>La plataforma donde se implemente la solución debe permitir la configuración de listas de control de acceso (listas blancas de dominios de confianza). </t>
  </si>
  <si>
    <t>¿Se instalan parches de seguridad critica en un lapso de un mes contado a partir de su fecha de lanzamiento?</t>
  </si>
  <si>
    <t>¿Se cuentan con mejores practicas de desarrollo de codigo seguro?</t>
  </si>
  <si>
    <t>¿Se tienen en cuenta estándares de configuración segura en los servidores de aplicación y base de datos. (Guías de Hardenning)?</t>
  </si>
  <si>
    <t>Garantizar que los cambios realizados en los sistemas de información se revisan realizando un procedimiento de escaneo de vulnerabilidades para detectar código malicioso y estableciendo planes de remediación. </t>
  </si>
  <si>
    <t>El fabricante de los componentes de la solución debe proporcionar actualizaciones periódicas de seguridad y remediación de vulnerabilidades encontradas. </t>
  </si>
  <si>
    <t>¿La solución requiere integraciones con otras plataformas?</t>
  </si>
  <si>
    <t>¿Se cuenta con políticas para el respaldo de la información y procedimientos de restauración de los datos?</t>
  </si>
  <si>
    <t>¿Se cuenta con plan de continuidad de negocio?</t>
  </si>
  <si>
    <t>Continuidad tecnológica:  
•Garantizar la continuidad del servicio de TI a través de un plan de continuidad tecnológica.
• Se deben definir políticas para el respaldo de la información y procedimientos de restauración de los datos. 
• Definir ANS de disponibilidad. </t>
  </si>
  <si>
    <t>Logs de Auditoría:  
Errores que se presentan en las herramientas.
Actividad de los usuarios finales y usuarios administradores. 
Creación, modificación, habilitación, deshabilitación y eliminación de privilegios de acceso. </t>
  </si>
  <si>
    <t>Clasificación de la Información: Se debe realizar un inventario de activos de información con el fin de identificar la información y valorarla según su nivel de criticidad. </t>
  </si>
  <si>
    <t>Requerimientos legales, regulatorios y normativos: acuerdos de confidencialidad, circulares, Ley Habeas Data (1582), etc. </t>
  </si>
  <si>
    <t>Tener en cuenta los controles CCM v 3.0.1-Cloud. (Políticas de Seguridad en la Nube). </t>
  </si>
  <si>
    <t>OBSERVACIONES</t>
  </si>
  <si>
    <t>CALIFICACIÓN</t>
  </si>
  <si>
    <t>Llineamientos de Seguridad de la Información en los procesos de Adquisición, Desarrollo y Mantenimiento de Software en Cartones América</t>
  </si>
  <si>
    <t>Calificación:
Cumple = 2
N/A = 1
No cumple = 0</t>
  </si>
  <si>
    <t>obligatoria</t>
  </si>
  <si>
    <t>debe cumplirse, versiones de TLS 1.0 inseguras, consultar politica de AD (Consultar)</t>
  </si>
  <si>
    <t xml:space="preserve">¿La empresa que buenas practicas de seguridad aplica? </t>
  </si>
  <si>
    <t>¿Se encuentra certificada en alguna norma?</t>
  </si>
  <si>
    <t>definir la calificación, dependiendo el periodo en que se realicen las copias - Justificar la respuesta, dependiendo la criticidad de la herramienta</t>
  </si>
  <si>
    <t>Observaciones que tipos de controles se tienen implementados - en comentarios</t>
  </si>
  <si>
    <t>la herramienta realiza el bloqueo???</t>
  </si>
  <si>
    <t>estos usuarios son</t>
  </si>
  <si>
    <t xml:space="preserve">la herramienta que ya sea de CAME permite la integración con el AD, </t>
  </si>
  <si>
    <t>Que tipos de cifrado utilizan para la transferencia de información? TLS, AS2, AS3, AS4, SSL?</t>
  </si>
  <si>
    <t>El acceso administrativo que no es desde consola, se cifra de manera segura? Que tecnologias utiliza? SSH, VPN; SSL/TLS?</t>
  </si>
  <si>
    <t>Las copias de seguridad se estan realizando en data center externo o interno mediante cintas?</t>
  </si>
  <si>
    <t xml:space="preserve">¿Se realizan las copias de seguridad? </t>
  </si>
  <si>
    <t>Que herramienta de copias de seguridad utilizan? Justificar Respuesta</t>
  </si>
  <si>
    <t>Que tipos de copia de Seguridad se realizan? Completa, diferencial o incremental? Justificar respuesta</t>
  </si>
  <si>
    <t>¿Qué tipos de controles se tienen implementados? Justifique su respuesta</t>
  </si>
  <si>
    <t>Cuando la herramienta detecta varios intentos fallidos de autenticación se realiza el bloqueo?</t>
  </si>
  <si>
    <t>Los logs de auditoria almacenan errores que se presentan en las herramientas?</t>
  </si>
  <si>
    <t>Los logs de auditoria almacenan la creación, modificación, habilitación, deshabilitación y eliminación de privilegios de Acceso?</t>
  </si>
  <si>
    <t>Se detectan dispositivos inalambricos portatiles conectados al sistema, por ejemplo usb?</t>
  </si>
  <si>
    <t>Se detectan dispositivos inalambricos conectados a un puerto de red o aun dispositivo de red?</t>
  </si>
  <si>
    <t>Se detectan las Tarjetas WLAN insertadas en los componentes del sistema?</t>
  </si>
  <si>
    <t>¿Se cuenta con un plan de continuidad tecnológica para garantizar la continuidad del servicio?</t>
  </si>
  <si>
    <t>¿Se cuentan con políticas para el respaldo de información y procedimientos de restauración de los datos?</t>
  </si>
  <si>
    <t>¿Se encuentran definidos los ANS de disponibilidad?</t>
  </si>
  <si>
    <t>¿Se cuenta con los controles CCM v 3.0.1-Cloud. (Políticas de Seguridad en la Nube). ?</t>
  </si>
  <si>
    <t>¿Se cuenta con una política de desarrollo?</t>
  </si>
  <si>
    <t>¿Se cuenta con un mecanismos para validación de datos con el fin de evitar la introducción de datos incorrectos en las bases de datos y garantizar la integridad de la información?</t>
  </si>
  <si>
    <t>Si la herramienta se encuentra implementada o se encuentra en proceso de implementación, esta permite la integración con el AD?</t>
  </si>
  <si>
    <t>Empresa a evaluar</t>
  </si>
  <si>
    <t>Calificación:
Cumple = 2
N/A = 1
No cumple = 0
Por favor cuando sea necesario justifique su respuesta</t>
  </si>
  <si>
    <t>Los logs de auditoria almacena la actividad de los usuarios finales y usuarios administradores</t>
  </si>
  <si>
    <t>Segmentar para software como servicio</t>
  </si>
  <si>
    <t>y otro para desarrollos, politicas de seguridad para desarrollo</t>
  </si>
  <si>
    <t>Calificación:
SI = 1
No = 0
Por favor cuando sea necesario justifique su respuesta</t>
  </si>
  <si>
    <t>¿Los servidores donde esta alojada la aplicación estan protegidos contra la manipulación de medios extraibles?</t>
  </si>
  <si>
    <t xml:space="preserve">¿Utilizan tipo de cifrado TLS3 o superior para la transferencia de información? </t>
  </si>
  <si>
    <t>El acceso administrativo que no es desde consola, se cifra de manera segura? En observaciones indique que tecnologias utiliza SSH, VPN; SSL/TLS</t>
  </si>
  <si>
    <t>¿Las copias de seguridad se realizan de forma diaria?</t>
  </si>
  <si>
    <t>¿Se realizan pruebas de comprobación de datos al menos 1 vez por semestre?</t>
  </si>
  <si>
    <t>¿Cuantan con herramientas de seguridad?</t>
  </si>
  <si>
    <t>La herramienta cuenta con un módulo de administración de usuarios, que permita segregar las funciones según las responsabilidades asignadas (administradores, usuarios, auditor, etc). </t>
  </si>
  <si>
    <t>Se cuenta con un timeout de sesión inicial de 5 minutos de inactividad?</t>
  </si>
  <si>
    <t>El portal web permite a través del navegador almacenar el histórico de usuarios autenticados? </t>
  </si>
  <si>
    <t>¿Se cuenta con una política que garantice que los sistemas operativosy software instalados se encuentren con los parches mas recientes?</t>
  </si>
  <si>
    <t>Se cuenta con un inventario de activos de información con el fin de identificar la información y valorarla según su nivel de criticidad?</t>
  </si>
  <si>
    <t>¿Si se cuenta con una integración con plataformas de CAME, estas fueron autorizadas previamente por el equipo de TI? Favor suministrar al formulario el VoBo.</t>
  </si>
  <si>
    <t>Si la herramienta se encuentra implementada o se encuentra en proceso de implementación, esta permite la integración con el directorio activo?</t>
  </si>
  <si>
    <t>Si se requiere validar los lineamientos de seguridad de la información a un proveedor que esta realizando desarrollo para CAME hazle Click al Enlace a continuación:</t>
  </si>
  <si>
    <t>Desarrollo</t>
  </si>
  <si>
    <t>SW como Servicio</t>
  </si>
  <si>
    <t>Volver al Menu</t>
  </si>
  <si>
    <t>Si se requiere validar los lineamientos de seguridad de la información a un proveedor que esta ofreciendo software como servicio para CAME hazle Click al Enlace a continuación:</t>
  </si>
  <si>
    <t>Adjunto nuestra norma:  NO-SI-05- Concientizacion y Capacitacion de
Seguridad_v2.1_14-11-2024.pdf</t>
  </si>
  <si>
    <t>Adjunto: PO-SI-01- Seguridad de la informacion_2024-10-08_v3.0.pdf</t>
  </si>
  <si>
    <t>Adjunto: 
- NO-TI-01- Uso de Recursos Informáticos
- PO-SI-03- Seguridad en el Uso de Inteligencia Artificial</t>
  </si>
  <si>
    <t>Adjunto nuestra política de seguridad que define los lineamientos que aplicamos para la gestión de la seguridad de la información:  PO-SI-01- Seguridad de la informacion_2024-10-08_v3.0.pdf</t>
  </si>
  <si>
    <t xml:space="preserve">Adjunto:  NO-SI-04- Gestión de Riesgo del SGSI_2024-11-21_v3.0.pdf
</t>
  </si>
  <si>
    <t>Adjunto:  NO-SI-10- Gestión de Incidentes de Seguridad_V2.1_2024-08-22.pdf</t>
  </si>
  <si>
    <t>Todos los datos están cifrados en reposo y en tránsito. Adjunto: NO-SI-20 Cifrado de la Información_v1.1_2024-07-10.pdf</t>
  </si>
  <si>
    <t>No se manejan backups físicos.</t>
  </si>
  <si>
    <t>Adjunto: NO-SI-15 Resguardo y Recupero de la
Información_2024-07-16_v1.1.pdf</t>
  </si>
  <si>
    <t>Se realizan resguardos diarios de la totalidad de la información de los clientes de la compañía, los mismos son incrementales y se mantiene una copia semanal durante al menos un año.</t>
  </si>
  <si>
    <t>VPN</t>
  </si>
  <si>
    <t>Intiza tiene homologado cifrado TLS 1.2
Adjunto: NO-SI-20 Cifrado de la Información_v1.1_2024-07-10.pdf</t>
  </si>
  <si>
    <t>Utilizamos backups nativos de Azure y de MSQL.</t>
  </si>
  <si>
    <t>Formalizamos, de acuerdo a nuestra norma, que el mismo sea anual.
Adjunto: NO-SI-15 Resguardo y Recupero de la
Información_2024-07-16_v1.1.pdf</t>
  </si>
  <si>
    <t>Nos apalancamos en todo el sistema de seguridad de Azure: Sentinel, End Point  Protection, Defender, etc.</t>
  </si>
  <si>
    <t>Adjunto: NO-TI-03- Software Malicioso_v2.1_2025-05-02.pdf</t>
  </si>
  <si>
    <t xml:space="preserve">Intiza es un sistema SaaS. No manejamos medios físicos. </t>
  </si>
  <si>
    <t>Esto se configura junto con el cliente en la etapa de implementación de Intiza.</t>
  </si>
  <si>
    <t>Firewalls y reglas NSG.</t>
  </si>
  <si>
    <t>No aplica para Intiza. No tenemos ambiente físico. Es una herramienta Cloud.</t>
  </si>
  <si>
    <t>Adjunto: NO-SI-12- Monitoreos de Eventos y Análisis de
Logs_2025-02-24_v2.1.pdf</t>
  </si>
  <si>
    <t>Adjunto: NO-SI-13 Gestión de Vulnerabilidades y Parches_v2.1_2024-08-09.pdf</t>
  </si>
  <si>
    <t>Los parches de seguridad se aplican en forma automática los miercoles de cada semana.</t>
  </si>
  <si>
    <t>Adjunto: NO-SI-21 Desarrollo seguro_v3_2024-07-10.pdf</t>
  </si>
  <si>
    <t>Adjunto: PO-TI-01- Continuidad de Procesamiento de
Datos_v2.1_2024-11-25.pdf</t>
  </si>
  <si>
    <t>Adjunto: NO-SI-17 Gestión de Activos de la Información_2024-09-10_v1.1.pdf</t>
  </si>
  <si>
    <t>Intiza se integra via SAML.</t>
  </si>
  <si>
    <t>ISO 27001:2022   Adjunto certificado: INTIZA Certificados 27001_2025.pdf</t>
  </si>
  <si>
    <t>Adjunto: PR-SI-14 Clasificación de Activos de la Información_v1.2_2025-02-19.pdf</t>
  </si>
  <si>
    <t>Adjunto: NO-SI-19 Retención y Eliminación de Información_v2.1_2025-02-25.pdf</t>
  </si>
  <si>
    <t>Adjunto: NO-SI-02- Gestión de Cuentas de Usuarios_2025-11-11_v2.pdf</t>
  </si>
  <si>
    <t>Adjunto: NO-TI-04 Gestión de Cambios_v2.2_2025-10-28.pdf</t>
  </si>
  <si>
    <t>Adjunto: NO-SI-27- Norma de Seguridad Cloud.pdf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</si>
</sst>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36"/>
      <color rgb="FFFFFFFF"/>
      <name val="Calibri"/>
      <family val="2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FFFFFF"/>
      </bottom>
      <diagonal/>
    </border>
    <border>
      <left/>
      <right/>
      <top style="thin">
        <color rgb="FF000000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000000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6" xfId="0" applyFont="1" applyFill="1" applyBorder="1" applyAlignment="1">
      <alignment wrapText="1"/>
    </xf>
    <xf numFmtId="0" fontId="2" fillId="4" borderId="6" xfId="0" applyFont="1" applyFill="1" applyBorder="1" applyAlignment="1">
      <alignment wrapText="1"/>
    </xf>
    <xf numFmtId="0" fontId="1" fillId="2" borderId="7" xfId="0" applyFont="1" applyFill="1" applyBorder="1" applyAlignment="1">
      <alignment wrapText="1"/>
    </xf>
    <xf numFmtId="0" fontId="2" fillId="4" borderId="8" xfId="0" applyFont="1" applyFill="1" applyBorder="1"/>
    <xf numFmtId="0" fontId="0" fillId="2" borderId="9" xfId="0" applyFill="1" applyBorder="1"/>
    <xf numFmtId="0" fontId="0" fillId="2" borderId="11" xfId="0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12" xfId="0" applyFont="1" applyFill="1" applyBorder="1"/>
    <xf numFmtId="0" fontId="1" fillId="2" borderId="13" xfId="0" applyFont="1" applyFill="1" applyBorder="1" applyAlignment="1">
      <alignment wrapText="1"/>
    </xf>
    <xf numFmtId="0" fontId="1" fillId="2" borderId="2" xfId="0" applyFont="1" applyFill="1" applyBorder="1" applyAlignment="1">
      <alignment horizontal="center" wrapText="1"/>
    </xf>
    <xf numFmtId="0" fontId="2" fillId="4" borderId="0" xfId="0" applyFont="1" applyFill="1"/>
    <xf numFmtId="0" fontId="2" fillId="4" borderId="5" xfId="0" applyFont="1" applyFill="1" applyBorder="1" applyAlignment="1">
      <alignment wrapText="1"/>
    </xf>
    <xf numFmtId="0" fontId="2" fillId="3" borderId="15" xfId="0" applyFont="1" applyFill="1" applyBorder="1" applyAlignment="1">
      <alignment wrapText="1"/>
    </xf>
    <xf numFmtId="0" fontId="1" fillId="5" borderId="16" xfId="0" applyFont="1" applyFill="1" applyBorder="1" applyAlignment="1">
      <alignment horizontal="center" wrapText="1"/>
    </xf>
    <xf numFmtId="0" fontId="2" fillId="4" borderId="0" xfId="0" applyFont="1" applyFill="1" applyAlignment="1">
      <alignment wrapText="1"/>
    </xf>
    <xf numFmtId="0" fontId="1" fillId="2" borderId="4" xfId="0" applyFont="1" applyFill="1" applyBorder="1" applyAlignment="1">
      <alignment wrapText="1"/>
    </xf>
    <xf numFmtId="0" fontId="2" fillId="3" borderId="8" xfId="0" applyFont="1" applyFill="1" applyBorder="1" applyAlignment="1">
      <alignment wrapText="1"/>
    </xf>
    <xf numFmtId="0" fontId="3" fillId="0" borderId="0" xfId="0" applyFont="1" applyAlignment="1">
      <alignment horizontal="center" vertical="top"/>
    </xf>
    <xf numFmtId="0" fontId="1" fillId="6" borderId="16" xfId="0" applyFont="1" applyFill="1" applyBorder="1" applyAlignment="1">
      <alignment horizont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/>
    <xf numFmtId="0" fontId="1" fillId="5" borderId="0" xfId="0" applyFont="1" applyFill="1" applyAlignment="1">
      <alignment horizontal="center" wrapText="1"/>
    </xf>
    <xf numFmtId="0" fontId="5" fillId="0" borderId="0" xfId="0" applyFont="1" applyAlignment="1">
      <alignment vertical="center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8" xfId="0" applyBorder="1" applyAlignment="1">
      <alignment wrapText="1"/>
    </xf>
    <xf numFmtId="0" fontId="5" fillId="0" borderId="14" xfId="0" applyFont="1" applyBorder="1" applyAlignment="1">
      <alignment wrapText="1"/>
    </xf>
    <xf numFmtId="0" fontId="2" fillId="3" borderId="6" xfId="0" applyFont="1" applyFill="1" applyBorder="1" applyAlignment="1">
      <alignment vertical="center" wrapText="1"/>
    </xf>
    <xf numFmtId="0" fontId="0" fillId="7" borderId="14" xfId="0" applyFill="1" applyBorder="1" applyAlignment="1">
      <alignment wrapText="1"/>
    </xf>
    <xf numFmtId="0" fontId="0" fillId="7" borderId="14" xfId="0" applyFill="1" applyBorder="1" applyAlignment="1">
      <alignment vertical="center" wrapText="1"/>
    </xf>
    <xf numFmtId="0" fontId="0" fillId="0" borderId="14" xfId="0" applyBorder="1" applyAlignment="1">
      <alignment horizontal="left" vertical="center"/>
    </xf>
    <xf numFmtId="0" fontId="0" fillId="8" borderId="14" xfId="0" applyFill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2" borderId="20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wrapText="1"/>
    </xf>
    <xf numFmtId="0" fontId="2" fillId="4" borderId="20" xfId="0" applyFont="1" applyFill="1" applyBorder="1" applyAlignment="1">
      <alignment wrapText="1"/>
    </xf>
    <xf numFmtId="0" fontId="2" fillId="3" borderId="20" xfId="0" applyFont="1" applyFill="1" applyBorder="1" applyAlignment="1">
      <alignment vertical="center" wrapText="1"/>
    </xf>
    <xf numFmtId="0" fontId="0" fillId="0" borderId="20" xfId="0" applyBorder="1"/>
    <xf numFmtId="0" fontId="2" fillId="3" borderId="20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1" fontId="2" fillId="3" borderId="20" xfId="0" applyNumberFormat="1" applyFont="1" applyFill="1" applyBorder="1" applyAlignment="1">
      <alignment horizontal="center" vertical="center" wrapText="1"/>
    </xf>
    <xf numFmtId="1" fontId="2" fillId="4" borderId="20" xfId="0" applyNumberFormat="1" applyFont="1" applyFill="1" applyBorder="1" applyAlignment="1">
      <alignment horizontal="center" vertical="center" wrapText="1"/>
    </xf>
    <xf numFmtId="9" fontId="7" fillId="0" borderId="0" xfId="1" applyFont="1" applyAlignment="1">
      <alignment horizontal="center" vertical="center"/>
    </xf>
    <xf numFmtId="0" fontId="8" fillId="2" borderId="2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4" fillId="0" borderId="20" xfId="0" applyFont="1" applyBorder="1" applyAlignment="1">
      <alignment vertical="center" wrapText="1"/>
    </xf>
    <xf numFmtId="0" fontId="0" fillId="0" borderId="20" xfId="0" applyBorder="1" applyAlignment="1">
      <alignment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left" vertical="center"/>
    </xf>
    <xf numFmtId="0" fontId="5" fillId="0" borderId="20" xfId="0" applyFont="1" applyBorder="1" applyAlignment="1">
      <alignment vertical="center" wrapText="1"/>
    </xf>
    <xf numFmtId="0" fontId="2" fillId="9" borderId="20" xfId="0" applyFont="1" applyFill="1" applyBorder="1" applyAlignment="1">
      <alignment vertical="center" wrapText="1"/>
    </xf>
    <xf numFmtId="0" fontId="2" fillId="9" borderId="20" xfId="0" applyFont="1" applyFill="1" applyBorder="1" applyAlignment="1">
      <alignment wrapText="1"/>
    </xf>
    <xf numFmtId="0" fontId="1" fillId="2" borderId="21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wrapText="1"/>
    </xf>
    <xf numFmtId="0" fontId="2" fillId="3" borderId="23" xfId="0" applyFont="1" applyFill="1" applyBorder="1" applyAlignment="1">
      <alignment wrapText="1"/>
    </xf>
    <xf numFmtId="9" fontId="0" fillId="0" borderId="0" xfId="1" applyFont="1" applyAlignment="1">
      <alignment horizontal="center" vertical="center"/>
    </xf>
    <xf numFmtId="0" fontId="2" fillId="3" borderId="22" xfId="0" applyFont="1" applyFill="1" applyBorder="1" applyAlignment="1">
      <alignment vertical="center" wrapText="1"/>
    </xf>
    <xf numFmtId="0" fontId="2" fillId="3" borderId="23" xfId="0" applyFont="1" applyFill="1" applyBorder="1" applyAlignment="1">
      <alignment vertical="center" wrapText="1"/>
    </xf>
    <xf numFmtId="9" fontId="10" fillId="0" borderId="0" xfId="1" applyFont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3" fillId="0" borderId="0" xfId="2" applyFont="1" applyAlignment="1">
      <alignment horizontal="center" vertical="center"/>
    </xf>
    <xf numFmtId="0" fontId="13" fillId="0" borderId="0" xfId="2" applyFont="1" applyAlignment="1">
      <alignment vertical="center"/>
    </xf>
    <xf numFmtId="0" fontId="3" fillId="0" borderId="0" xfId="0" applyFont="1" applyAlignment="1">
      <alignment horizontal="center" vertical="top" wrapText="1"/>
    </xf>
    <xf numFmtId="0" fontId="5" fillId="0" borderId="19" xfId="0" applyFont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9" fillId="0" borderId="2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1" xfId="0" applyFont="1" applyFill="1" applyBorder="1" applyAlignment="1">
      <alignment horizontal="center" wrapText="1"/>
    </xf>
    <xf numFmtId="0" fontId="1" fillId="2" borderId="22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0" fillId="0" borderId="21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809625</xdr:colOff>
      <xdr:row>4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C9A6628-2C0F-EC86-A3BF-8C2F96341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09625" cy="838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D4B171-117D-47A0-9752-3A9A61F5F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736243C-DDC2-4388-86BC-22CE1109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35D15D-3FD6-4887-9F60-D421E423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75B7EA4-7D5A-4B43-91E5-CEC642495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3816D9A-DC2C-4F2B-81E2-DBBDE17D7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1</xdr:colOff>
      <xdr:row>5</xdr:row>
      <xdr:rowOff>7620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D5239C0-4FD1-4557-BDFB-4DAA3A57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899160" cy="929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opLeftCell="A6" zoomScaleNormal="100" workbookViewId="0">
      <selection activeCell="B14" sqref="B14"/>
    </sheetView>
  </sheetViews>
  <sheetFormatPr baseColWidth="10" defaultColWidth="9.109375" defaultRowHeight="14.4" x14ac:dyDescent="0.3"/>
  <cols>
    <col min="1" max="1" width="13.109375" customWidth="1"/>
    <col min="2" max="2" width="105.33203125" bestFit="1" customWidth="1"/>
    <col min="3" max="3" width="57.44140625" customWidth="1"/>
    <col min="4" max="4" width="37.44140625" customWidth="1"/>
  </cols>
  <sheetData>
    <row r="1" spans="1:4" ht="15" customHeight="1" x14ac:dyDescent="0.3">
      <c r="B1" s="73" t="s">
        <v>0</v>
      </c>
      <c r="C1" s="73"/>
    </row>
    <row r="2" spans="1:4" x14ac:dyDescent="0.3">
      <c r="B2" s="73"/>
      <c r="C2" s="73"/>
    </row>
    <row r="3" spans="1:4" x14ac:dyDescent="0.3">
      <c r="B3" s="73"/>
      <c r="C3" s="73"/>
    </row>
    <row r="4" spans="1:4" x14ac:dyDescent="0.3">
      <c r="B4" s="73"/>
      <c r="C4" s="73"/>
    </row>
    <row r="5" spans="1:4" x14ac:dyDescent="0.3">
      <c r="B5" s="73"/>
      <c r="C5" s="73"/>
    </row>
    <row r="6" spans="1:4" ht="72" x14ac:dyDescent="0.3">
      <c r="B6" s="24" t="s">
        <v>1</v>
      </c>
      <c r="C6" s="23" t="s">
        <v>2</v>
      </c>
    </row>
    <row r="7" spans="1:4" x14ac:dyDescent="0.3">
      <c r="B7" s="24" t="s">
        <v>3</v>
      </c>
      <c r="C7" s="27"/>
    </row>
    <row r="8" spans="1:4" ht="28.8" x14ac:dyDescent="0.3">
      <c r="B8" s="25" t="s">
        <v>4</v>
      </c>
      <c r="C8" s="26" t="s">
        <v>5</v>
      </c>
    </row>
    <row r="9" spans="1:4" x14ac:dyDescent="0.3">
      <c r="B9" s="21"/>
    </row>
    <row r="10" spans="1:4" ht="15.6" x14ac:dyDescent="0.3">
      <c r="A10" s="1" t="s">
        <v>6</v>
      </c>
      <c r="B10" s="13" t="s">
        <v>7</v>
      </c>
      <c r="C10" s="17" t="s">
        <v>8</v>
      </c>
      <c r="D10" s="22" t="s">
        <v>9</v>
      </c>
    </row>
    <row r="11" spans="1:4" ht="15.6" x14ac:dyDescent="0.3">
      <c r="A11" s="75" t="s">
        <v>10</v>
      </c>
      <c r="B11" s="76"/>
      <c r="C11" s="17" t="s">
        <v>10</v>
      </c>
    </row>
    <row r="12" spans="1:4" ht="31.2" x14ac:dyDescent="0.3">
      <c r="A12" s="2" t="s">
        <v>11</v>
      </c>
      <c r="B12" s="35" t="s">
        <v>12</v>
      </c>
      <c r="C12" s="36"/>
    </row>
    <row r="13" spans="1:4" ht="31.2" x14ac:dyDescent="0.3">
      <c r="A13" s="2" t="s">
        <v>13</v>
      </c>
      <c r="B13" s="4" t="s">
        <v>14</v>
      </c>
      <c r="C13" s="32"/>
    </row>
    <row r="14" spans="1:4" ht="15.6" x14ac:dyDescent="0.3">
      <c r="A14" s="2" t="s">
        <v>15</v>
      </c>
      <c r="B14" s="3" t="s">
        <v>16</v>
      </c>
      <c r="C14" s="31"/>
    </row>
    <row r="15" spans="1:4" ht="15.6" x14ac:dyDescent="0.3">
      <c r="A15" s="75" t="s">
        <v>17</v>
      </c>
      <c r="B15" s="76"/>
      <c r="C15" s="17" t="s">
        <v>18</v>
      </c>
    </row>
    <row r="16" spans="1:4" ht="31.2" x14ac:dyDescent="0.3">
      <c r="A16" s="2" t="s">
        <v>11</v>
      </c>
      <c r="B16" s="3" t="s">
        <v>19</v>
      </c>
      <c r="C16" s="31"/>
    </row>
    <row r="17" spans="1:4" ht="31.2" x14ac:dyDescent="0.3">
      <c r="A17" s="2" t="s">
        <v>13</v>
      </c>
      <c r="B17" s="4" t="s">
        <v>20</v>
      </c>
      <c r="C17" s="39"/>
    </row>
    <row r="18" spans="1:4" ht="31.2" x14ac:dyDescent="0.3">
      <c r="A18" s="2" t="s">
        <v>15</v>
      </c>
      <c r="B18" s="3" t="s">
        <v>21</v>
      </c>
      <c r="C18" s="31"/>
    </row>
    <row r="19" spans="1:4" ht="15.6" x14ac:dyDescent="0.3">
      <c r="A19" s="2" t="s">
        <v>22</v>
      </c>
      <c r="B19" s="4" t="s">
        <v>23</v>
      </c>
      <c r="C19" s="33"/>
    </row>
    <row r="20" spans="1:4" ht="15.6" x14ac:dyDescent="0.3">
      <c r="A20" s="2" t="s">
        <v>24</v>
      </c>
      <c r="B20" s="3" t="s">
        <v>25</v>
      </c>
      <c r="C20" s="34"/>
      <c r="D20" s="28"/>
    </row>
    <row r="21" spans="1:4" ht="31.2" x14ac:dyDescent="0.3">
      <c r="A21" s="2" t="s">
        <v>26</v>
      </c>
      <c r="B21" s="4" t="s">
        <v>27</v>
      </c>
      <c r="C21" s="31"/>
      <c r="D21" s="30"/>
    </row>
    <row r="22" spans="1:4" ht="15.6" x14ac:dyDescent="0.3">
      <c r="A22" s="75" t="s">
        <v>28</v>
      </c>
      <c r="B22" s="76"/>
      <c r="C22" s="29" t="s">
        <v>29</v>
      </c>
    </row>
    <row r="23" spans="1:4" ht="15.6" x14ac:dyDescent="0.3">
      <c r="A23" s="5" t="s">
        <v>11</v>
      </c>
      <c r="B23" s="6" t="s">
        <v>30</v>
      </c>
      <c r="C23" s="31"/>
    </row>
    <row r="24" spans="1:4" ht="15.6" x14ac:dyDescent="0.3">
      <c r="A24" s="7"/>
      <c r="B24" s="3" t="s">
        <v>31</v>
      </c>
      <c r="C24" s="31"/>
    </row>
    <row r="25" spans="1:4" ht="15.6" x14ac:dyDescent="0.3">
      <c r="A25" s="7"/>
      <c r="B25" s="14" t="s">
        <v>32</v>
      </c>
      <c r="C25" s="31"/>
    </row>
    <row r="26" spans="1:4" ht="15.6" x14ac:dyDescent="0.3">
      <c r="A26" s="8"/>
      <c r="B26" s="3" t="s">
        <v>33</v>
      </c>
      <c r="C26" s="31"/>
    </row>
    <row r="27" spans="1:4" ht="15.6" x14ac:dyDescent="0.3">
      <c r="A27" s="75" t="s">
        <v>34</v>
      </c>
      <c r="B27" s="76"/>
      <c r="C27" s="17" t="s">
        <v>35</v>
      </c>
    </row>
    <row r="28" spans="1:4" ht="46.8" x14ac:dyDescent="0.3">
      <c r="A28" s="2" t="s">
        <v>11</v>
      </c>
      <c r="B28" s="4" t="s">
        <v>36</v>
      </c>
      <c r="C28" s="37"/>
    </row>
    <row r="29" spans="1:4" ht="31.2" x14ac:dyDescent="0.3">
      <c r="A29" s="2" t="s">
        <v>13</v>
      </c>
      <c r="B29" s="3" t="s">
        <v>37</v>
      </c>
      <c r="C29" s="31"/>
      <c r="D29" s="30"/>
    </row>
    <row r="30" spans="1:4" ht="46.8" x14ac:dyDescent="0.3">
      <c r="A30" s="2" t="s">
        <v>15</v>
      </c>
      <c r="B30" s="4" t="s">
        <v>38</v>
      </c>
      <c r="C30" s="31"/>
    </row>
    <row r="31" spans="1:4" ht="31.2" x14ac:dyDescent="0.3">
      <c r="A31" s="2" t="s">
        <v>22</v>
      </c>
      <c r="B31" s="3" t="s">
        <v>39</v>
      </c>
      <c r="C31" s="31"/>
    </row>
    <row r="32" spans="1:4" ht="15.6" x14ac:dyDescent="0.3">
      <c r="A32" s="75" t="s">
        <v>40</v>
      </c>
      <c r="B32" s="76"/>
      <c r="C32" s="17" t="s">
        <v>41</v>
      </c>
    </row>
    <row r="33" spans="1:4" ht="31.2" x14ac:dyDescent="0.3">
      <c r="A33" s="2" t="s">
        <v>11</v>
      </c>
      <c r="B33" s="4" t="s">
        <v>42</v>
      </c>
      <c r="C33" s="38"/>
    </row>
    <row r="34" spans="1:4" ht="15.6" x14ac:dyDescent="0.3">
      <c r="A34" s="5" t="s">
        <v>13</v>
      </c>
      <c r="B34" s="9" t="s">
        <v>43</v>
      </c>
      <c r="C34" s="31"/>
    </row>
    <row r="35" spans="1:4" ht="15.6" x14ac:dyDescent="0.3">
      <c r="A35" s="7"/>
      <c r="B35" s="10" t="s">
        <v>44</v>
      </c>
      <c r="C35" s="31"/>
      <c r="D35" s="74"/>
    </row>
    <row r="36" spans="1:4" ht="15.6" x14ac:dyDescent="0.3">
      <c r="A36" s="7"/>
      <c r="B36" s="10" t="s">
        <v>45</v>
      </c>
      <c r="C36" s="31"/>
      <c r="D36" s="74"/>
    </row>
    <row r="37" spans="1:4" ht="15.6" x14ac:dyDescent="0.3">
      <c r="A37" s="8"/>
      <c r="B37" s="11" t="s">
        <v>46</v>
      </c>
      <c r="C37" s="31"/>
      <c r="D37" s="74"/>
    </row>
    <row r="38" spans="1:4" ht="31.2" x14ac:dyDescent="0.3">
      <c r="A38" s="2" t="s">
        <v>15</v>
      </c>
      <c r="B38" s="4" t="s">
        <v>47</v>
      </c>
      <c r="C38" s="31"/>
      <c r="D38" s="30"/>
    </row>
    <row r="39" spans="1:4" ht="31.2" x14ac:dyDescent="0.3">
      <c r="A39" s="2" t="s">
        <v>22</v>
      </c>
      <c r="B39" s="20" t="s">
        <v>48</v>
      </c>
      <c r="C39" s="31"/>
    </row>
    <row r="40" spans="1:4" ht="15.6" x14ac:dyDescent="0.3">
      <c r="A40" s="19" t="s">
        <v>24</v>
      </c>
      <c r="B40" s="18" t="s">
        <v>49</v>
      </c>
      <c r="C40" s="40"/>
    </row>
    <row r="41" spans="1:4" ht="31.2" x14ac:dyDescent="0.3">
      <c r="A41" s="2" t="s">
        <v>50</v>
      </c>
      <c r="B41" s="15" t="s">
        <v>51</v>
      </c>
      <c r="C41" s="32"/>
    </row>
    <row r="42" spans="1:4" ht="31.2" x14ac:dyDescent="0.3">
      <c r="A42" s="12" t="s">
        <v>52</v>
      </c>
      <c r="B42" s="16" t="s">
        <v>53</v>
      </c>
      <c r="C42" s="31"/>
    </row>
    <row r="43" spans="1:4" ht="15.6" x14ac:dyDescent="0.3">
      <c r="B43" s="18"/>
    </row>
  </sheetData>
  <mergeCells count="7">
    <mergeCell ref="B1:C5"/>
    <mergeCell ref="D35:D37"/>
    <mergeCell ref="A11:B11"/>
    <mergeCell ref="A15:B15"/>
    <mergeCell ref="A22:B22"/>
    <mergeCell ref="A27:B27"/>
    <mergeCell ref="A32:B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959D7-B483-4B65-B480-38EEBEFEC781}">
  <dimension ref="A1:D94"/>
  <sheetViews>
    <sheetView zoomScale="70" zoomScaleNormal="70" workbookViewId="0">
      <selection activeCell="B89" sqref="B89"/>
    </sheetView>
  </sheetViews>
  <sheetFormatPr baseColWidth="10" defaultColWidth="9.109375" defaultRowHeight="14.4" x14ac:dyDescent="0.3"/>
  <cols>
    <col min="1" max="1" width="13.109375" style="41" customWidth="1"/>
    <col min="2" max="2" width="105.33203125" bestFit="1" customWidth="1"/>
    <col min="3" max="3" width="21.109375" style="41" customWidth="1"/>
    <col min="4" max="4" width="37.44140625" customWidth="1"/>
    <col min="5" max="5" width="9.109375" customWidth="1"/>
  </cols>
  <sheetData>
    <row r="1" spans="1:4" ht="15" customHeight="1" x14ac:dyDescent="0.3">
      <c r="A1" s="78"/>
      <c r="B1" s="77" t="s">
        <v>114</v>
      </c>
      <c r="C1" s="77"/>
      <c r="D1" s="77"/>
    </row>
    <row r="2" spans="1:4" x14ac:dyDescent="0.3">
      <c r="A2" s="78"/>
      <c r="B2" s="77"/>
      <c r="C2" s="77"/>
      <c r="D2" s="77"/>
    </row>
    <row r="3" spans="1:4" x14ac:dyDescent="0.3">
      <c r="A3" s="78"/>
      <c r="B3" s="77"/>
      <c r="C3" s="77"/>
      <c r="D3" s="77"/>
    </row>
    <row r="4" spans="1:4" x14ac:dyDescent="0.3">
      <c r="A4" s="78"/>
      <c r="B4" s="77"/>
      <c r="C4" s="77"/>
      <c r="D4" s="77"/>
    </row>
    <row r="5" spans="1:4" x14ac:dyDescent="0.3">
      <c r="A5" s="78"/>
      <c r="B5" s="77"/>
      <c r="C5" s="77"/>
      <c r="D5" s="77"/>
    </row>
    <row r="6" spans="1:4" ht="115.2" x14ac:dyDescent="0.3">
      <c r="B6" s="55" t="s">
        <v>1</v>
      </c>
      <c r="C6" s="54"/>
      <c r="D6" s="56" t="s">
        <v>2</v>
      </c>
    </row>
    <row r="7" spans="1:4" x14ac:dyDescent="0.3">
      <c r="B7" s="55" t="s">
        <v>3</v>
      </c>
      <c r="C7" s="57"/>
      <c r="D7" s="47"/>
    </row>
    <row r="8" spans="1:4" ht="57.6" x14ac:dyDescent="0.3">
      <c r="B8" s="58" t="s">
        <v>4</v>
      </c>
      <c r="C8" s="54"/>
      <c r="D8" s="59" t="s">
        <v>115</v>
      </c>
    </row>
    <row r="9" spans="1:4" x14ac:dyDescent="0.3">
      <c r="B9" s="21"/>
    </row>
    <row r="10" spans="1:4" ht="15.6" x14ac:dyDescent="0.3">
      <c r="A10" s="43"/>
      <c r="B10" s="42" t="s">
        <v>7</v>
      </c>
      <c r="C10" s="43" t="s">
        <v>113</v>
      </c>
      <c r="D10" s="43" t="s">
        <v>112</v>
      </c>
    </row>
    <row r="11" spans="1:4" ht="15.6" x14ac:dyDescent="0.3">
      <c r="A11" s="79" t="s">
        <v>56</v>
      </c>
      <c r="B11" s="80"/>
      <c r="C11" s="80"/>
      <c r="D11" s="81"/>
    </row>
    <row r="12" spans="1:4" ht="15.6" x14ac:dyDescent="0.3">
      <c r="A12" s="43">
        <v>1</v>
      </c>
      <c r="B12" s="44" t="s">
        <v>58</v>
      </c>
      <c r="C12" s="50"/>
      <c r="D12" s="44"/>
    </row>
    <row r="13" spans="1:4" ht="31.2" x14ac:dyDescent="0.3">
      <c r="A13" s="43">
        <v>2</v>
      </c>
      <c r="B13" s="45" t="s">
        <v>59</v>
      </c>
      <c r="C13" s="51"/>
      <c r="D13" s="45"/>
    </row>
    <row r="14" spans="1:4" ht="31.2" x14ac:dyDescent="0.3">
      <c r="A14" s="43">
        <v>3</v>
      </c>
      <c r="B14" s="44" t="s">
        <v>60</v>
      </c>
      <c r="C14" s="50"/>
      <c r="D14" s="44"/>
    </row>
    <row r="15" spans="1:4" ht="31.2" x14ac:dyDescent="0.3">
      <c r="A15" s="43">
        <v>4</v>
      </c>
      <c r="B15" s="45" t="s">
        <v>61</v>
      </c>
      <c r="C15" s="51"/>
      <c r="D15" s="45"/>
    </row>
    <row r="16" spans="1:4" ht="15.6" x14ac:dyDescent="0.3">
      <c r="A16" s="43">
        <v>5</v>
      </c>
      <c r="B16" s="44" t="s">
        <v>62</v>
      </c>
      <c r="C16" s="50"/>
      <c r="D16" s="44"/>
    </row>
    <row r="17" spans="1:4" ht="15.6" x14ac:dyDescent="0.3">
      <c r="A17" s="43">
        <v>6</v>
      </c>
      <c r="B17" s="45" t="s">
        <v>118</v>
      </c>
      <c r="C17" s="51"/>
      <c r="D17" s="45"/>
    </row>
    <row r="18" spans="1:4" ht="15.6" x14ac:dyDescent="0.3">
      <c r="A18" s="43">
        <v>7</v>
      </c>
      <c r="B18" s="45" t="s">
        <v>119</v>
      </c>
      <c r="C18" s="51"/>
      <c r="D18" s="45"/>
    </row>
    <row r="19" spans="1:4" ht="15.6" x14ac:dyDescent="0.3">
      <c r="A19" s="43">
        <v>8</v>
      </c>
      <c r="B19" s="44" t="s">
        <v>63</v>
      </c>
      <c r="C19" s="50"/>
      <c r="D19" s="44"/>
    </row>
    <row r="20" spans="1:4" ht="15.6" x14ac:dyDescent="0.3">
      <c r="A20" s="43">
        <v>9</v>
      </c>
      <c r="B20" s="45" t="s">
        <v>64</v>
      </c>
      <c r="C20" s="51"/>
      <c r="D20" s="45"/>
    </row>
    <row r="21" spans="1:4" ht="15.6" x14ac:dyDescent="0.3">
      <c r="A21" s="79" t="s">
        <v>10</v>
      </c>
      <c r="B21" s="80"/>
      <c r="C21" s="80"/>
      <c r="D21" s="81"/>
    </row>
    <row r="22" spans="1:4" ht="15.6" x14ac:dyDescent="0.3">
      <c r="A22" s="43">
        <v>1</v>
      </c>
      <c r="B22" s="46" t="s">
        <v>68</v>
      </c>
      <c r="C22" s="48"/>
      <c r="D22" s="46" t="s">
        <v>116</v>
      </c>
    </row>
    <row r="23" spans="1:4" ht="31.2" x14ac:dyDescent="0.3">
      <c r="A23" s="43">
        <v>2</v>
      </c>
      <c r="B23" s="45" t="s">
        <v>69</v>
      </c>
      <c r="C23" s="49"/>
      <c r="D23" s="45"/>
    </row>
    <row r="24" spans="1:4" ht="15.6" x14ac:dyDescent="0.3">
      <c r="A24" s="43">
        <v>3</v>
      </c>
      <c r="B24" s="46" t="s">
        <v>125</v>
      </c>
      <c r="C24" s="48"/>
      <c r="D24" s="46"/>
    </row>
    <row r="25" spans="1:4" ht="31.2" x14ac:dyDescent="0.3">
      <c r="A25" s="43">
        <v>4</v>
      </c>
      <c r="B25" s="45" t="s">
        <v>70</v>
      </c>
      <c r="C25" s="49"/>
      <c r="D25" s="45"/>
    </row>
    <row r="26" spans="1:4" ht="46.8" x14ac:dyDescent="0.3">
      <c r="A26" s="43">
        <v>5</v>
      </c>
      <c r="B26" s="46" t="s">
        <v>126</v>
      </c>
      <c r="C26" s="48"/>
      <c r="D26" s="46" t="s">
        <v>117</v>
      </c>
    </row>
    <row r="27" spans="1:4" ht="15.6" x14ac:dyDescent="0.3">
      <c r="A27" s="79" t="s">
        <v>71</v>
      </c>
      <c r="B27" s="80"/>
      <c r="C27" s="80"/>
      <c r="D27" s="81"/>
    </row>
    <row r="28" spans="1:4" ht="15.6" x14ac:dyDescent="0.3">
      <c r="A28" s="43">
        <v>1</v>
      </c>
      <c r="B28" s="46" t="s">
        <v>128</v>
      </c>
      <c r="C28" s="48"/>
      <c r="D28" s="46"/>
    </row>
    <row r="29" spans="1:4" ht="15.6" x14ac:dyDescent="0.3">
      <c r="A29" s="43">
        <v>2</v>
      </c>
      <c r="B29" s="46" t="s">
        <v>127</v>
      </c>
      <c r="C29" s="48"/>
      <c r="D29" s="46"/>
    </row>
    <row r="30" spans="1:4" ht="15.6" x14ac:dyDescent="0.3">
      <c r="A30" s="43">
        <v>3</v>
      </c>
      <c r="B30" s="46" t="s">
        <v>130</v>
      </c>
      <c r="C30" s="48"/>
      <c r="D30" s="46"/>
    </row>
    <row r="31" spans="1:4" ht="15.6" x14ac:dyDescent="0.3">
      <c r="A31" s="43"/>
      <c r="B31" s="46" t="s">
        <v>129</v>
      </c>
      <c r="C31" s="48"/>
      <c r="D31" s="46"/>
    </row>
    <row r="32" spans="1:4" ht="15.6" x14ac:dyDescent="0.3">
      <c r="A32" s="43"/>
      <c r="B32" s="46"/>
      <c r="C32" s="48"/>
      <c r="D32" s="46"/>
    </row>
    <row r="33" spans="1:4" ht="15.6" x14ac:dyDescent="0.3">
      <c r="A33" s="43"/>
      <c r="B33" s="46"/>
      <c r="C33" s="48"/>
      <c r="D33" s="46"/>
    </row>
    <row r="34" spans="1:4" ht="15.6" x14ac:dyDescent="0.3">
      <c r="A34" s="43"/>
      <c r="B34" s="46"/>
      <c r="C34" s="48"/>
      <c r="D34" s="46"/>
    </row>
    <row r="35" spans="1:4" ht="62.4" x14ac:dyDescent="0.3">
      <c r="A35" s="43">
        <v>2</v>
      </c>
      <c r="B35" s="45" t="s">
        <v>72</v>
      </c>
      <c r="C35" s="49"/>
      <c r="D35" s="45" t="s">
        <v>120</v>
      </c>
    </row>
    <row r="36" spans="1:4" ht="15.6" x14ac:dyDescent="0.3">
      <c r="A36" s="43">
        <v>3</v>
      </c>
      <c r="B36" s="60" t="s">
        <v>73</v>
      </c>
      <c r="C36" s="48"/>
      <c r="D36" s="46"/>
    </row>
    <row r="37" spans="1:4" ht="46.8" x14ac:dyDescent="0.3">
      <c r="A37" s="43">
        <v>4</v>
      </c>
      <c r="B37" s="61" t="s">
        <v>74</v>
      </c>
      <c r="C37" s="49"/>
      <c r="D37" s="45" t="s">
        <v>121</v>
      </c>
    </row>
    <row r="38" spans="1:4" ht="15.6" x14ac:dyDescent="0.3">
      <c r="A38" s="43">
        <v>5</v>
      </c>
      <c r="B38" s="46" t="s">
        <v>105</v>
      </c>
      <c r="C38" s="48"/>
      <c r="D38" s="46"/>
    </row>
    <row r="39" spans="1:4" ht="15.6" customHeight="1" x14ac:dyDescent="0.3">
      <c r="A39" s="79" t="s">
        <v>57</v>
      </c>
      <c r="B39" s="80"/>
      <c r="C39" s="80"/>
      <c r="D39" s="81"/>
    </row>
    <row r="40" spans="1:4" ht="15.6" x14ac:dyDescent="0.3">
      <c r="A40" s="43">
        <v>1</v>
      </c>
      <c r="B40" s="44" t="s">
        <v>66</v>
      </c>
      <c r="C40" s="48"/>
      <c r="D40" s="44" t="s">
        <v>116</v>
      </c>
    </row>
    <row r="41" spans="1:4" ht="31.2" x14ac:dyDescent="0.3">
      <c r="A41" s="43">
        <v>2</v>
      </c>
      <c r="B41" s="45" t="s">
        <v>65</v>
      </c>
      <c r="C41" s="49"/>
      <c r="D41" s="44" t="s">
        <v>116</v>
      </c>
    </row>
    <row r="42" spans="1:4" ht="15.6" x14ac:dyDescent="0.3">
      <c r="A42" s="43">
        <v>3</v>
      </c>
      <c r="B42" s="44" t="s">
        <v>75</v>
      </c>
      <c r="C42" s="48"/>
      <c r="D42" s="44" t="s">
        <v>116</v>
      </c>
    </row>
    <row r="43" spans="1:4" ht="31.2" x14ac:dyDescent="0.3">
      <c r="A43" s="43">
        <v>4</v>
      </c>
      <c r="B43" s="45" t="s">
        <v>76</v>
      </c>
      <c r="C43" s="49"/>
      <c r="D43" s="44" t="s">
        <v>116</v>
      </c>
    </row>
    <row r="44" spans="1:4" ht="15.6" x14ac:dyDescent="0.3">
      <c r="A44" s="43">
        <v>5</v>
      </c>
      <c r="B44" s="44" t="s">
        <v>77</v>
      </c>
      <c r="C44" s="48"/>
      <c r="D44" s="44" t="s">
        <v>116</v>
      </c>
    </row>
    <row r="45" spans="1:4" ht="31.2" x14ac:dyDescent="0.3">
      <c r="A45" s="43">
        <v>6</v>
      </c>
      <c r="B45" s="45" t="s">
        <v>78</v>
      </c>
      <c r="C45" s="49"/>
      <c r="D45" s="44" t="s">
        <v>116</v>
      </c>
    </row>
    <row r="46" spans="1:4" ht="15.6" x14ac:dyDescent="0.3">
      <c r="A46" s="43">
        <v>7</v>
      </c>
      <c r="B46" s="44" t="s">
        <v>79</v>
      </c>
      <c r="C46" s="48"/>
      <c r="D46" s="44" t="s">
        <v>116</v>
      </c>
    </row>
    <row r="47" spans="1:4" ht="15.6" customHeight="1" x14ac:dyDescent="0.3">
      <c r="A47" s="79" t="s">
        <v>17</v>
      </c>
      <c r="B47" s="80"/>
      <c r="C47" s="80"/>
      <c r="D47" s="81"/>
    </row>
    <row r="48" spans="1:4" ht="31.2" x14ac:dyDescent="0.3">
      <c r="A48" s="43">
        <v>1</v>
      </c>
      <c r="B48" s="46" t="s">
        <v>54</v>
      </c>
      <c r="C48" s="48"/>
      <c r="D48" s="46"/>
    </row>
    <row r="49" spans="1:4" ht="15.6" x14ac:dyDescent="0.3">
      <c r="A49" s="43">
        <v>2</v>
      </c>
      <c r="B49" s="45" t="s">
        <v>67</v>
      </c>
      <c r="C49" s="49"/>
      <c r="D49" s="45"/>
    </row>
    <row r="50" spans="1:4" ht="15.6" x14ac:dyDescent="0.3">
      <c r="A50" s="43">
        <v>3</v>
      </c>
      <c r="B50" s="46" t="s">
        <v>89</v>
      </c>
      <c r="C50" s="48"/>
      <c r="D50" s="46"/>
    </row>
    <row r="51" spans="1:4" ht="15.6" x14ac:dyDescent="0.3">
      <c r="A51" s="43">
        <v>4</v>
      </c>
      <c r="B51" s="45" t="s">
        <v>90</v>
      </c>
      <c r="C51" s="49"/>
      <c r="D51" s="45"/>
    </row>
    <row r="52" spans="1:4" ht="15.6" x14ac:dyDescent="0.3">
      <c r="A52" s="43">
        <v>5</v>
      </c>
      <c r="B52" s="46" t="s">
        <v>91</v>
      </c>
      <c r="C52" s="48"/>
      <c r="D52" s="46"/>
    </row>
    <row r="53" spans="1:4" ht="31.2" x14ac:dyDescent="0.3">
      <c r="A53" s="43">
        <v>6</v>
      </c>
      <c r="B53" s="45" t="s">
        <v>93</v>
      </c>
      <c r="C53" s="49"/>
      <c r="D53" s="45"/>
    </row>
    <row r="54" spans="1:4" ht="31.2" x14ac:dyDescent="0.3">
      <c r="A54" s="43">
        <v>7</v>
      </c>
      <c r="B54" s="46" t="s">
        <v>94</v>
      </c>
      <c r="C54" s="48"/>
      <c r="D54" s="46"/>
    </row>
    <row r="55" spans="1:4" ht="15.6" x14ac:dyDescent="0.3">
      <c r="A55" s="43">
        <v>8</v>
      </c>
      <c r="B55" s="45" t="s">
        <v>95</v>
      </c>
      <c r="C55" s="49"/>
      <c r="D55" s="45" t="s">
        <v>122</v>
      </c>
    </row>
    <row r="56" spans="1:4" ht="15.6" x14ac:dyDescent="0.3">
      <c r="A56" s="43">
        <v>9</v>
      </c>
      <c r="B56" s="46" t="s">
        <v>96</v>
      </c>
      <c r="C56" s="48"/>
      <c r="D56" s="46"/>
    </row>
    <row r="57" spans="1:4" ht="15.6" x14ac:dyDescent="0.3">
      <c r="A57" s="43">
        <v>10</v>
      </c>
      <c r="B57" s="45" t="s">
        <v>97</v>
      </c>
      <c r="C57" s="49"/>
      <c r="D57" s="45"/>
    </row>
    <row r="58" spans="1:4" ht="31.2" x14ac:dyDescent="0.3">
      <c r="A58" s="43">
        <v>11</v>
      </c>
      <c r="B58" s="46" t="s">
        <v>98</v>
      </c>
      <c r="C58" s="48"/>
      <c r="D58" s="46"/>
    </row>
    <row r="59" spans="1:4" ht="15.6" x14ac:dyDescent="0.3">
      <c r="A59" s="79" t="s">
        <v>80</v>
      </c>
      <c r="B59" s="80"/>
      <c r="C59" s="80"/>
      <c r="D59" s="81"/>
    </row>
    <row r="60" spans="1:4" ht="15.6" x14ac:dyDescent="0.3">
      <c r="A60" s="43">
        <v>1</v>
      </c>
      <c r="B60" s="44" t="s">
        <v>81</v>
      </c>
      <c r="C60" s="48"/>
      <c r="D60" s="44" t="s">
        <v>116</v>
      </c>
    </row>
    <row r="61" spans="1:4" ht="15.6" x14ac:dyDescent="0.3">
      <c r="A61" s="43">
        <v>2</v>
      </c>
      <c r="B61" s="45" t="s">
        <v>82</v>
      </c>
      <c r="C61" s="49"/>
      <c r="D61" s="45"/>
    </row>
    <row r="62" spans="1:4" ht="78" x14ac:dyDescent="0.3">
      <c r="A62" s="43">
        <v>3</v>
      </c>
      <c r="B62" s="44" t="s">
        <v>92</v>
      </c>
      <c r="C62" s="48"/>
      <c r="D62" s="44"/>
    </row>
    <row r="63" spans="1:4" ht="15.6" x14ac:dyDescent="0.3">
      <c r="A63" s="43">
        <v>4</v>
      </c>
      <c r="B63" s="45" t="s">
        <v>85</v>
      </c>
      <c r="C63" s="49"/>
      <c r="D63" s="45"/>
    </row>
    <row r="64" spans="1:4" ht="31.2" x14ac:dyDescent="0.3">
      <c r="A64" s="43">
        <v>5</v>
      </c>
      <c r="B64" s="44" t="s">
        <v>55</v>
      </c>
      <c r="C64" s="48"/>
      <c r="D64" s="44"/>
    </row>
    <row r="65" spans="1:4" ht="15.6" x14ac:dyDescent="0.3">
      <c r="A65" s="43">
        <v>6</v>
      </c>
      <c r="B65" s="45" t="s">
        <v>86</v>
      </c>
      <c r="C65" s="49"/>
      <c r="D65" s="45"/>
    </row>
    <row r="66" spans="1:4" ht="31.2" x14ac:dyDescent="0.3">
      <c r="A66" s="43">
        <v>7</v>
      </c>
      <c r="B66" s="44" t="s">
        <v>83</v>
      </c>
      <c r="C66" s="48"/>
      <c r="D66" s="44"/>
    </row>
    <row r="67" spans="1:4" ht="15.6" x14ac:dyDescent="0.3">
      <c r="A67" s="43">
        <v>8</v>
      </c>
      <c r="B67" s="45" t="s">
        <v>87</v>
      </c>
      <c r="C67" s="49"/>
      <c r="D67" s="45"/>
    </row>
    <row r="68" spans="1:4" ht="15.6" x14ac:dyDescent="0.3">
      <c r="A68" s="43">
        <v>9</v>
      </c>
      <c r="B68" s="44" t="s">
        <v>84</v>
      </c>
      <c r="C68" s="48"/>
      <c r="D68" s="44"/>
    </row>
    <row r="69" spans="1:4" ht="15.6" customHeight="1" x14ac:dyDescent="0.3">
      <c r="A69" s="79" t="s">
        <v>28</v>
      </c>
      <c r="B69" s="80"/>
      <c r="C69" s="80"/>
      <c r="D69" s="81"/>
    </row>
    <row r="70" spans="1:4" ht="62.4" x14ac:dyDescent="0.3">
      <c r="A70" s="43">
        <v>1</v>
      </c>
      <c r="B70" s="44" t="s">
        <v>108</v>
      </c>
      <c r="C70" s="48"/>
      <c r="D70" s="44"/>
    </row>
    <row r="71" spans="1:4" ht="15.6" customHeight="1" x14ac:dyDescent="0.3">
      <c r="A71" s="79" t="s">
        <v>34</v>
      </c>
      <c r="B71" s="80"/>
      <c r="C71" s="80"/>
      <c r="D71" s="81"/>
    </row>
    <row r="72" spans="1:4" ht="31.2" x14ac:dyDescent="0.3">
      <c r="A72" s="43">
        <v>1</v>
      </c>
      <c r="B72" s="44" t="s">
        <v>88</v>
      </c>
      <c r="C72" s="48"/>
      <c r="D72" s="44"/>
    </row>
    <row r="73" spans="1:4" ht="15.6" x14ac:dyDescent="0.3">
      <c r="A73" s="43">
        <v>2</v>
      </c>
      <c r="B73" s="45" t="s">
        <v>99</v>
      </c>
      <c r="C73" s="49"/>
      <c r="D73" s="45"/>
    </row>
    <row r="74" spans="1:4" ht="15.6" x14ac:dyDescent="0.3">
      <c r="A74" s="43">
        <v>3</v>
      </c>
      <c r="B74" s="44" t="s">
        <v>100</v>
      </c>
      <c r="C74" s="48"/>
      <c r="D74" s="44"/>
    </row>
    <row r="75" spans="1:4" ht="31.2" x14ac:dyDescent="0.3">
      <c r="A75" s="43">
        <v>4</v>
      </c>
      <c r="B75" s="45" t="s">
        <v>101</v>
      </c>
      <c r="C75" s="49"/>
      <c r="D75" s="45"/>
    </row>
    <row r="76" spans="1:4" ht="31.2" x14ac:dyDescent="0.3">
      <c r="A76" s="43">
        <v>5</v>
      </c>
      <c r="B76" s="44" t="s">
        <v>102</v>
      </c>
      <c r="C76" s="48"/>
      <c r="D76" s="44"/>
    </row>
    <row r="77" spans="1:4" ht="31.2" x14ac:dyDescent="0.3">
      <c r="A77" s="43">
        <v>6</v>
      </c>
      <c r="B77" s="45" t="s">
        <v>103</v>
      </c>
      <c r="C77" s="49"/>
      <c r="D77" s="45"/>
    </row>
    <row r="78" spans="1:4" ht="15.6" customHeight="1" x14ac:dyDescent="0.3">
      <c r="A78" s="79" t="s">
        <v>40</v>
      </c>
      <c r="B78" s="80"/>
      <c r="C78" s="80"/>
      <c r="D78" s="81"/>
    </row>
    <row r="79" spans="1:4" ht="15.6" x14ac:dyDescent="0.3">
      <c r="A79" s="43">
        <v>1</v>
      </c>
      <c r="B79" s="44" t="s">
        <v>104</v>
      </c>
      <c r="C79" s="48"/>
      <c r="D79" s="44"/>
    </row>
    <row r="80" spans="1:4" ht="15.6" x14ac:dyDescent="0.3">
      <c r="A80" s="43">
        <v>2</v>
      </c>
      <c r="B80" s="45" t="s">
        <v>106</v>
      </c>
      <c r="C80" s="49"/>
      <c r="D80" s="45"/>
    </row>
    <row r="81" spans="1:4" ht="67.2" customHeight="1" x14ac:dyDescent="0.3">
      <c r="A81" s="43">
        <v>3</v>
      </c>
      <c r="B81" s="44" t="s">
        <v>107</v>
      </c>
      <c r="C81" s="48"/>
      <c r="D81" s="44"/>
    </row>
    <row r="82" spans="1:4" ht="31.2" x14ac:dyDescent="0.3">
      <c r="A82" s="43">
        <v>4</v>
      </c>
      <c r="B82" s="45" t="s">
        <v>109</v>
      </c>
      <c r="C82" s="49"/>
      <c r="D82" s="45"/>
    </row>
    <row r="83" spans="1:4" ht="31.2" x14ac:dyDescent="0.3">
      <c r="A83" s="43">
        <v>5</v>
      </c>
      <c r="B83" s="44" t="s">
        <v>110</v>
      </c>
      <c r="C83" s="48"/>
      <c r="D83" s="44"/>
    </row>
    <row r="84" spans="1:4" ht="15.6" x14ac:dyDescent="0.3">
      <c r="A84" s="43">
        <v>6</v>
      </c>
      <c r="B84" s="45" t="s">
        <v>111</v>
      </c>
      <c r="C84" s="49"/>
      <c r="D84" s="45"/>
    </row>
    <row r="85" spans="1:4" ht="31.2" x14ac:dyDescent="0.3">
      <c r="A85" s="43">
        <v>7</v>
      </c>
      <c r="B85" s="44" t="s">
        <v>51</v>
      </c>
      <c r="C85" s="48"/>
      <c r="D85" s="44"/>
    </row>
    <row r="86" spans="1:4" ht="31.2" x14ac:dyDescent="0.3">
      <c r="A86" s="43">
        <v>8</v>
      </c>
      <c r="B86" s="45" t="s">
        <v>53</v>
      </c>
      <c r="C86" s="49"/>
      <c r="D86" s="45"/>
    </row>
    <row r="89" spans="1:4" x14ac:dyDescent="0.3">
      <c r="B89" t="s">
        <v>124</v>
      </c>
    </row>
    <row r="90" spans="1:4" x14ac:dyDescent="0.3">
      <c r="B90" t="s">
        <v>123</v>
      </c>
    </row>
    <row r="94" spans="1:4" ht="46.2" x14ac:dyDescent="0.3">
      <c r="B94" s="53" t="s">
        <v>113</v>
      </c>
      <c r="C94" s="52">
        <f>(COUNTIF(C12:$C$86,0)+COUNTIF(C12:$C$86,1)+COUNTIF(C12:$C$86,2))/60</f>
        <v>0</v>
      </c>
    </row>
  </sheetData>
  <mergeCells count="11">
    <mergeCell ref="A78:D78"/>
    <mergeCell ref="A47:D47"/>
    <mergeCell ref="A59:D59"/>
    <mergeCell ref="A21:D21"/>
    <mergeCell ref="A69:D69"/>
    <mergeCell ref="A71:D71"/>
    <mergeCell ref="B1:D5"/>
    <mergeCell ref="A1:A5"/>
    <mergeCell ref="A11:D11"/>
    <mergeCell ref="A27:D27"/>
    <mergeCell ref="A39:D3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CB4A27-B466-4ECD-97E7-5DA766DC3122}">
          <x14:formula1>
            <xm:f>Hoja1!$A$1:$A$3</xm:f>
          </x14:formula1>
          <xm:sqref>C12:C20 C28:C38 C40:C46 C48:C58 C60:C68 C70 C72:C77 C79:C86 C22:C26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7EF2D-F56E-4385-B8F5-BFDABE6BFECE}">
  <dimension ref="A1:H95"/>
  <sheetViews>
    <sheetView zoomScale="80" zoomScaleNormal="80" workbookViewId="0">
      <selection activeCell="C91" sqref="C91"/>
    </sheetView>
  </sheetViews>
  <sheetFormatPr baseColWidth="10" defaultColWidth="9.109375" defaultRowHeight="14.4" x14ac:dyDescent="0.3"/>
  <cols>
    <col min="1" max="1" width="13.109375" style="41" customWidth="1"/>
    <col min="2" max="2" width="105.33203125" bestFit="1" customWidth="1"/>
    <col min="3" max="3" width="21.109375" style="41" customWidth="1"/>
    <col min="4" max="4" width="37.44140625" customWidth="1"/>
    <col min="5" max="6" width="9.109375" customWidth="1"/>
  </cols>
  <sheetData>
    <row r="1" spans="1:8" ht="15" customHeight="1" x14ac:dyDescent="0.3">
      <c r="A1" s="78"/>
      <c r="B1" s="77" t="s">
        <v>114</v>
      </c>
      <c r="C1" s="77"/>
      <c r="D1" s="77"/>
    </row>
    <row r="2" spans="1:8" x14ac:dyDescent="0.3">
      <c r="A2" s="78"/>
      <c r="B2" s="77"/>
      <c r="C2" s="77"/>
      <c r="D2" s="77"/>
    </row>
    <row r="3" spans="1:8" x14ac:dyDescent="0.3">
      <c r="A3" s="78"/>
      <c r="B3" s="77"/>
      <c r="C3" s="77"/>
      <c r="D3" s="77"/>
    </row>
    <row r="4" spans="1:8" x14ac:dyDescent="0.3">
      <c r="A4" s="78"/>
      <c r="B4" s="77"/>
      <c r="C4" s="77"/>
      <c r="D4" s="77"/>
    </row>
    <row r="5" spans="1:8" x14ac:dyDescent="0.3">
      <c r="A5" s="78"/>
      <c r="B5" s="77"/>
      <c r="C5" s="77"/>
      <c r="D5" s="77"/>
    </row>
    <row r="6" spans="1:8" ht="115.2" customHeight="1" x14ac:dyDescent="0.3">
      <c r="B6" s="55" t="s">
        <v>1</v>
      </c>
      <c r="C6" s="82" t="s">
        <v>2</v>
      </c>
      <c r="D6" s="83"/>
    </row>
    <row r="7" spans="1:8" x14ac:dyDescent="0.3">
      <c r="B7" s="55" t="s">
        <v>145</v>
      </c>
      <c r="C7" s="84"/>
      <c r="D7" s="85"/>
    </row>
    <row r="8" spans="1:8" x14ac:dyDescent="0.3">
      <c r="B8" s="55" t="s">
        <v>3</v>
      </c>
      <c r="C8" s="84"/>
      <c r="D8" s="85"/>
    </row>
    <row r="9" spans="1:8" ht="100.8" x14ac:dyDescent="0.3">
      <c r="B9" s="58" t="s">
        <v>4</v>
      </c>
      <c r="C9" s="54"/>
      <c r="D9" s="59" t="s">
        <v>146</v>
      </c>
    </row>
    <row r="10" spans="1:8" x14ac:dyDescent="0.3">
      <c r="B10" s="21"/>
    </row>
    <row r="11" spans="1:8" ht="15.6" x14ac:dyDescent="0.3">
      <c r="A11" s="43"/>
      <c r="B11" s="42" t="s">
        <v>7</v>
      </c>
      <c r="C11" s="43" t="s">
        <v>113</v>
      </c>
      <c r="D11" s="43" t="s">
        <v>112</v>
      </c>
    </row>
    <row r="12" spans="1:8" ht="15.6" x14ac:dyDescent="0.3">
      <c r="A12" s="79" t="s">
        <v>56</v>
      </c>
      <c r="B12" s="80"/>
      <c r="C12" s="80"/>
      <c r="D12" s="81"/>
    </row>
    <row r="13" spans="1:8" ht="15.6" x14ac:dyDescent="0.3">
      <c r="A13" s="43">
        <v>1</v>
      </c>
      <c r="B13" s="44" t="s">
        <v>58</v>
      </c>
      <c r="C13" s="50">
        <v>2</v>
      </c>
      <c r="D13" s="44"/>
      <c r="H13" t="s">
        <v>148</v>
      </c>
    </row>
    <row r="14" spans="1:8" ht="31.2" x14ac:dyDescent="0.3">
      <c r="A14" s="43">
        <v>2</v>
      </c>
      <c r="B14" s="45" t="s">
        <v>59</v>
      </c>
      <c r="C14" s="51">
        <v>2</v>
      </c>
      <c r="D14" s="45"/>
      <c r="H14" t="s">
        <v>149</v>
      </c>
    </row>
    <row r="15" spans="1:8" ht="31.2" x14ac:dyDescent="0.3">
      <c r="A15" s="43">
        <v>3</v>
      </c>
      <c r="B15" s="44" t="s">
        <v>60</v>
      </c>
      <c r="C15" s="50">
        <v>2</v>
      </c>
      <c r="D15" s="44"/>
    </row>
    <row r="16" spans="1:8" ht="31.2" x14ac:dyDescent="0.3">
      <c r="A16" s="43">
        <v>4</v>
      </c>
      <c r="B16" s="45" t="s">
        <v>61</v>
      </c>
      <c r="C16" s="51">
        <v>2</v>
      </c>
      <c r="D16" s="45"/>
    </row>
    <row r="17" spans="1:6" ht="15.6" x14ac:dyDescent="0.3">
      <c r="A17" s="43">
        <v>5</v>
      </c>
      <c r="B17" s="44" t="s">
        <v>62</v>
      </c>
      <c r="C17" s="50">
        <v>2</v>
      </c>
      <c r="D17" s="44"/>
    </row>
    <row r="18" spans="1:6" ht="15.6" x14ac:dyDescent="0.3">
      <c r="A18" s="43">
        <v>6</v>
      </c>
      <c r="B18" s="45" t="s">
        <v>118</v>
      </c>
      <c r="C18" s="51">
        <v>2</v>
      </c>
      <c r="D18" s="45"/>
    </row>
    <row r="19" spans="1:6" ht="15.6" x14ac:dyDescent="0.3">
      <c r="A19" s="43">
        <v>7</v>
      </c>
      <c r="B19" s="44" t="s">
        <v>119</v>
      </c>
      <c r="C19" s="50">
        <v>2</v>
      </c>
      <c r="D19" s="44"/>
    </row>
    <row r="20" spans="1:6" ht="15.6" x14ac:dyDescent="0.3">
      <c r="A20" s="43">
        <v>8</v>
      </c>
      <c r="B20" s="45" t="s">
        <v>63</v>
      </c>
      <c r="C20" s="51">
        <v>2</v>
      </c>
      <c r="D20" s="45"/>
    </row>
    <row r="21" spans="1:6" ht="15.6" x14ac:dyDescent="0.3">
      <c r="A21" s="43">
        <v>9</v>
      </c>
      <c r="B21" s="44" t="s">
        <v>64</v>
      </c>
      <c r="C21" s="50">
        <v>2</v>
      </c>
      <c r="D21" s="44"/>
    </row>
    <row r="22" spans="1:6" ht="15.6" x14ac:dyDescent="0.3">
      <c r="A22" s="79" t="s">
        <v>10</v>
      </c>
      <c r="B22" s="80"/>
      <c r="C22" s="80"/>
      <c r="D22" s="81"/>
    </row>
    <row r="23" spans="1:6" ht="15.6" x14ac:dyDescent="0.3">
      <c r="A23" s="43">
        <v>1</v>
      </c>
      <c r="B23" s="46" t="s">
        <v>68</v>
      </c>
      <c r="C23" s="48">
        <v>2</v>
      </c>
      <c r="D23" s="46"/>
      <c r="F23" t="s">
        <v>116</v>
      </c>
    </row>
    <row r="24" spans="1:6" ht="31.2" x14ac:dyDescent="0.3">
      <c r="A24" s="43">
        <v>2</v>
      </c>
      <c r="B24" s="45" t="s">
        <v>69</v>
      </c>
      <c r="C24" s="49">
        <v>2</v>
      </c>
      <c r="D24" s="45"/>
    </row>
    <row r="25" spans="1:6" ht="15.6" x14ac:dyDescent="0.3">
      <c r="A25" s="43">
        <v>3</v>
      </c>
      <c r="B25" s="46" t="s">
        <v>125</v>
      </c>
      <c r="C25" s="48">
        <v>2</v>
      </c>
      <c r="D25" s="46"/>
    </row>
    <row r="26" spans="1:6" ht="31.2" x14ac:dyDescent="0.3">
      <c r="A26" s="43">
        <v>4</v>
      </c>
      <c r="B26" s="45" t="s">
        <v>70</v>
      </c>
      <c r="C26" s="49">
        <v>2</v>
      </c>
      <c r="D26" s="45"/>
    </row>
    <row r="27" spans="1:6" ht="31.2" x14ac:dyDescent="0.3">
      <c r="A27" s="43">
        <v>5</v>
      </c>
      <c r="B27" s="46" t="s">
        <v>126</v>
      </c>
      <c r="C27" s="48">
        <v>2</v>
      </c>
      <c r="D27" s="46"/>
      <c r="F27" t="s">
        <v>117</v>
      </c>
    </row>
    <row r="28" spans="1:6" ht="15.6" x14ac:dyDescent="0.3">
      <c r="A28" s="79" t="s">
        <v>71</v>
      </c>
      <c r="B28" s="80"/>
      <c r="C28" s="80"/>
      <c r="D28" s="81"/>
    </row>
    <row r="29" spans="1:6" ht="15.6" x14ac:dyDescent="0.3">
      <c r="A29" s="43">
        <v>1</v>
      </c>
      <c r="B29" s="46" t="s">
        <v>128</v>
      </c>
      <c r="C29" s="48">
        <v>2</v>
      </c>
      <c r="D29" s="46"/>
    </row>
    <row r="30" spans="1:6" ht="15.6" x14ac:dyDescent="0.3">
      <c r="A30" s="43">
        <v>2</v>
      </c>
      <c r="B30" s="45" t="s">
        <v>127</v>
      </c>
      <c r="C30" s="49">
        <v>2</v>
      </c>
      <c r="D30" s="45"/>
    </row>
    <row r="31" spans="1:6" ht="15.6" x14ac:dyDescent="0.3">
      <c r="A31" s="43">
        <v>3</v>
      </c>
      <c r="B31" s="46" t="s">
        <v>130</v>
      </c>
      <c r="C31" s="48">
        <v>2</v>
      </c>
      <c r="D31" s="46"/>
    </row>
    <row r="32" spans="1:6" ht="15.6" x14ac:dyDescent="0.3">
      <c r="A32" s="43">
        <v>4</v>
      </c>
      <c r="B32" s="45" t="s">
        <v>129</v>
      </c>
      <c r="C32" s="49">
        <v>2</v>
      </c>
      <c r="D32" s="45"/>
    </row>
    <row r="33" spans="1:6" ht="15.6" x14ac:dyDescent="0.3">
      <c r="A33" s="43">
        <v>2</v>
      </c>
      <c r="B33" s="46" t="s">
        <v>72</v>
      </c>
      <c r="C33" s="48">
        <v>2</v>
      </c>
      <c r="D33" s="46"/>
      <c r="F33" t="s">
        <v>120</v>
      </c>
    </row>
    <row r="34" spans="1:6" ht="15.6" x14ac:dyDescent="0.3">
      <c r="A34" s="43">
        <v>4</v>
      </c>
      <c r="B34" s="45" t="s">
        <v>131</v>
      </c>
      <c r="C34" s="49">
        <v>2</v>
      </c>
      <c r="D34" s="45"/>
      <c r="F34" t="s">
        <v>121</v>
      </c>
    </row>
    <row r="35" spans="1:6" ht="15.6" x14ac:dyDescent="0.3">
      <c r="A35" s="43">
        <v>5</v>
      </c>
      <c r="B35" s="46" t="s">
        <v>105</v>
      </c>
      <c r="C35" s="48">
        <v>2</v>
      </c>
      <c r="D35" s="46"/>
    </row>
    <row r="36" spans="1:6" ht="15.6" customHeight="1" x14ac:dyDescent="0.3">
      <c r="A36" s="79" t="s">
        <v>57</v>
      </c>
      <c r="B36" s="80"/>
      <c r="C36" s="80"/>
      <c r="D36" s="81"/>
    </row>
    <row r="37" spans="1:6" ht="15.6" x14ac:dyDescent="0.3">
      <c r="A37" s="43">
        <v>1</v>
      </c>
      <c r="B37" s="44" t="s">
        <v>66</v>
      </c>
      <c r="C37" s="48">
        <v>2</v>
      </c>
      <c r="D37" s="44"/>
      <c r="F37" t="s">
        <v>116</v>
      </c>
    </row>
    <row r="38" spans="1:6" ht="31.2" x14ac:dyDescent="0.3">
      <c r="A38" s="43">
        <v>2</v>
      </c>
      <c r="B38" s="45" t="s">
        <v>65</v>
      </c>
      <c r="C38" s="49">
        <v>2</v>
      </c>
      <c r="D38" s="45"/>
      <c r="F38" t="s">
        <v>116</v>
      </c>
    </row>
    <row r="39" spans="1:6" ht="15.6" x14ac:dyDescent="0.3">
      <c r="A39" s="43">
        <v>3</v>
      </c>
      <c r="B39" s="44" t="s">
        <v>75</v>
      </c>
      <c r="C39" s="48">
        <v>2</v>
      </c>
      <c r="D39" s="44"/>
      <c r="F39" t="s">
        <v>116</v>
      </c>
    </row>
    <row r="40" spans="1:6" ht="31.2" x14ac:dyDescent="0.3">
      <c r="A40" s="43">
        <v>4</v>
      </c>
      <c r="B40" s="45" t="s">
        <v>76</v>
      </c>
      <c r="C40" s="49">
        <v>2</v>
      </c>
      <c r="D40" s="45"/>
      <c r="F40" t="s">
        <v>116</v>
      </c>
    </row>
    <row r="41" spans="1:6" ht="15.6" x14ac:dyDescent="0.3">
      <c r="A41" s="43">
        <v>5</v>
      </c>
      <c r="B41" s="44" t="s">
        <v>77</v>
      </c>
      <c r="C41" s="48">
        <v>2</v>
      </c>
      <c r="D41" s="44"/>
      <c r="F41" t="s">
        <v>116</v>
      </c>
    </row>
    <row r="42" spans="1:6" ht="31.2" x14ac:dyDescent="0.3">
      <c r="A42" s="43">
        <v>6</v>
      </c>
      <c r="B42" s="45" t="s">
        <v>78</v>
      </c>
      <c r="C42" s="49">
        <v>2</v>
      </c>
      <c r="D42" s="45"/>
      <c r="F42" t="s">
        <v>116</v>
      </c>
    </row>
    <row r="43" spans="1:6" ht="15.6" x14ac:dyDescent="0.3">
      <c r="A43" s="43">
        <v>7</v>
      </c>
      <c r="B43" s="44" t="s">
        <v>79</v>
      </c>
      <c r="C43" s="48">
        <v>2</v>
      </c>
      <c r="D43" s="44"/>
      <c r="F43" t="s">
        <v>116</v>
      </c>
    </row>
    <row r="44" spans="1:6" ht="15.6" customHeight="1" x14ac:dyDescent="0.3">
      <c r="A44" s="79" t="s">
        <v>17</v>
      </c>
      <c r="B44" s="80"/>
      <c r="C44" s="80"/>
      <c r="D44" s="81"/>
    </row>
    <row r="45" spans="1:6" ht="31.2" x14ac:dyDescent="0.3">
      <c r="A45" s="43">
        <v>1</v>
      </c>
      <c r="B45" s="46" t="s">
        <v>54</v>
      </c>
      <c r="C45" s="48">
        <v>2</v>
      </c>
      <c r="D45" s="46"/>
    </row>
    <row r="46" spans="1:6" ht="15.6" x14ac:dyDescent="0.3">
      <c r="A46" s="43">
        <v>2</v>
      </c>
      <c r="B46" s="45" t="s">
        <v>67</v>
      </c>
      <c r="C46" s="49">
        <v>2</v>
      </c>
      <c r="D46" s="45"/>
    </row>
    <row r="47" spans="1:6" ht="15.6" x14ac:dyDescent="0.3">
      <c r="A47" s="43">
        <v>3</v>
      </c>
      <c r="B47" s="46" t="s">
        <v>89</v>
      </c>
      <c r="C47" s="48">
        <v>2</v>
      </c>
      <c r="D47" s="46"/>
    </row>
    <row r="48" spans="1:6" ht="15.6" x14ac:dyDescent="0.3">
      <c r="A48" s="43">
        <v>4</v>
      </c>
      <c r="B48" s="45" t="s">
        <v>90</v>
      </c>
      <c r="C48" s="49">
        <v>2</v>
      </c>
      <c r="D48" s="45"/>
    </row>
    <row r="49" spans="1:6" ht="15.6" x14ac:dyDescent="0.3">
      <c r="A49" s="43">
        <v>5</v>
      </c>
      <c r="B49" s="46" t="s">
        <v>91</v>
      </c>
      <c r="C49" s="48">
        <v>2</v>
      </c>
      <c r="D49" s="46"/>
    </row>
    <row r="50" spans="1:6" ht="31.2" x14ac:dyDescent="0.3">
      <c r="A50" s="43">
        <v>6</v>
      </c>
      <c r="B50" s="45" t="s">
        <v>93</v>
      </c>
      <c r="C50" s="49">
        <v>2</v>
      </c>
      <c r="D50" s="45"/>
    </row>
    <row r="51" spans="1:6" ht="31.2" x14ac:dyDescent="0.3">
      <c r="A51" s="43">
        <v>7</v>
      </c>
      <c r="B51" s="46" t="s">
        <v>94</v>
      </c>
      <c r="C51" s="48">
        <v>2</v>
      </c>
      <c r="D51" s="46"/>
    </row>
    <row r="52" spans="1:6" ht="15.6" x14ac:dyDescent="0.3">
      <c r="A52" s="43">
        <v>8</v>
      </c>
      <c r="B52" s="45" t="s">
        <v>132</v>
      </c>
      <c r="C52" s="49">
        <v>2</v>
      </c>
      <c r="D52" s="45"/>
      <c r="F52" t="s">
        <v>122</v>
      </c>
    </row>
    <row r="53" spans="1:6" ht="15.6" x14ac:dyDescent="0.3">
      <c r="A53" s="43">
        <v>9</v>
      </c>
      <c r="B53" s="46" t="s">
        <v>96</v>
      </c>
      <c r="C53" s="48">
        <v>2</v>
      </c>
      <c r="D53" s="46"/>
    </row>
    <row r="54" spans="1:6" ht="15.6" x14ac:dyDescent="0.3">
      <c r="A54" s="43">
        <v>10</v>
      </c>
      <c r="B54" s="45" t="s">
        <v>97</v>
      </c>
      <c r="C54" s="49">
        <v>2</v>
      </c>
      <c r="D54" s="45"/>
    </row>
    <row r="55" spans="1:6" ht="31.2" x14ac:dyDescent="0.3">
      <c r="A55" s="43">
        <v>11</v>
      </c>
      <c r="B55" s="46" t="s">
        <v>98</v>
      </c>
      <c r="C55" s="48">
        <v>2</v>
      </c>
      <c r="D55" s="46"/>
    </row>
    <row r="56" spans="1:6" ht="15.6" x14ac:dyDescent="0.3">
      <c r="A56" s="79" t="s">
        <v>80</v>
      </c>
      <c r="B56" s="80"/>
      <c r="C56" s="80"/>
      <c r="D56" s="81"/>
    </row>
    <row r="57" spans="1:6" ht="15.6" x14ac:dyDescent="0.3">
      <c r="A57" s="43">
        <v>1</v>
      </c>
      <c r="B57" s="44" t="s">
        <v>81</v>
      </c>
      <c r="C57" s="48">
        <v>1</v>
      </c>
      <c r="D57" s="44"/>
      <c r="F57" t="s">
        <v>116</v>
      </c>
    </row>
    <row r="58" spans="1:6" ht="15.6" x14ac:dyDescent="0.3">
      <c r="A58" s="43">
        <v>2</v>
      </c>
      <c r="B58" s="45" t="s">
        <v>82</v>
      </c>
      <c r="C58" s="49">
        <v>1</v>
      </c>
      <c r="D58" s="45"/>
    </row>
    <row r="59" spans="1:6" ht="15.6" x14ac:dyDescent="0.3">
      <c r="A59" s="43">
        <v>3</v>
      </c>
      <c r="B59" s="44" t="s">
        <v>137</v>
      </c>
      <c r="C59" s="48">
        <v>1</v>
      </c>
      <c r="D59" s="44"/>
    </row>
    <row r="60" spans="1:6" ht="15.6" x14ac:dyDescent="0.3">
      <c r="A60" s="43">
        <v>4</v>
      </c>
      <c r="B60" s="45" t="s">
        <v>135</v>
      </c>
      <c r="C60" s="49">
        <v>1</v>
      </c>
      <c r="D60" s="45"/>
    </row>
    <row r="61" spans="1:6" ht="15.6" x14ac:dyDescent="0.3">
      <c r="A61" s="43">
        <v>5</v>
      </c>
      <c r="B61" s="44" t="s">
        <v>136</v>
      </c>
      <c r="C61" s="48">
        <v>1</v>
      </c>
      <c r="D61" s="44"/>
    </row>
    <row r="62" spans="1:6" ht="15.6" x14ac:dyDescent="0.3">
      <c r="A62" s="43">
        <v>6</v>
      </c>
      <c r="B62" s="45" t="s">
        <v>85</v>
      </c>
      <c r="C62" s="49">
        <v>1</v>
      </c>
      <c r="D62" s="45"/>
    </row>
    <row r="63" spans="1:6" ht="31.2" x14ac:dyDescent="0.3">
      <c r="A63" s="43">
        <v>7</v>
      </c>
      <c r="B63" s="44" t="s">
        <v>55</v>
      </c>
      <c r="C63" s="48">
        <v>1</v>
      </c>
      <c r="D63" s="44"/>
    </row>
    <row r="64" spans="1:6" ht="15.6" x14ac:dyDescent="0.3">
      <c r="A64" s="43">
        <v>8</v>
      </c>
      <c r="B64" s="45" t="s">
        <v>86</v>
      </c>
      <c r="C64" s="49">
        <v>1</v>
      </c>
      <c r="D64" s="45"/>
    </row>
    <row r="65" spans="1:4" ht="31.2" x14ac:dyDescent="0.3">
      <c r="A65" s="43">
        <v>9</v>
      </c>
      <c r="B65" s="44" t="s">
        <v>83</v>
      </c>
      <c r="C65" s="48">
        <v>1</v>
      </c>
      <c r="D65" s="44"/>
    </row>
    <row r="66" spans="1:4" ht="15.6" x14ac:dyDescent="0.3">
      <c r="A66" s="43">
        <v>10</v>
      </c>
      <c r="B66" s="45" t="s">
        <v>87</v>
      </c>
      <c r="C66" s="49">
        <v>1</v>
      </c>
      <c r="D66" s="45"/>
    </row>
    <row r="67" spans="1:4" ht="15.6" x14ac:dyDescent="0.3">
      <c r="A67" s="43">
        <v>11</v>
      </c>
      <c r="B67" s="44" t="s">
        <v>84</v>
      </c>
      <c r="C67" s="48">
        <v>1</v>
      </c>
      <c r="D67" s="44"/>
    </row>
    <row r="68" spans="1:4" ht="15.6" customHeight="1" x14ac:dyDescent="0.3">
      <c r="A68" s="79" t="s">
        <v>28</v>
      </c>
      <c r="B68" s="80"/>
      <c r="C68" s="80"/>
      <c r="D68" s="81"/>
    </row>
    <row r="69" spans="1:4" ht="15.6" x14ac:dyDescent="0.3">
      <c r="A69" s="62">
        <v>1</v>
      </c>
      <c r="B69" s="45" t="s">
        <v>133</v>
      </c>
      <c r="C69" s="49">
        <v>1</v>
      </c>
      <c r="D69" s="45"/>
    </row>
    <row r="70" spans="1:4" ht="15.6" x14ac:dyDescent="0.3">
      <c r="A70" s="62">
        <v>2</v>
      </c>
      <c r="B70" s="63" t="s">
        <v>147</v>
      </c>
      <c r="C70" s="48">
        <v>1</v>
      </c>
      <c r="D70" s="64"/>
    </row>
    <row r="71" spans="1:4" ht="31.2" x14ac:dyDescent="0.3">
      <c r="A71" s="62">
        <v>3</v>
      </c>
      <c r="B71" s="45" t="s">
        <v>134</v>
      </c>
      <c r="C71" s="49">
        <v>1</v>
      </c>
      <c r="D71" s="45"/>
    </row>
    <row r="72" spans="1:4" ht="15.6" customHeight="1" x14ac:dyDescent="0.3">
      <c r="A72" s="79" t="s">
        <v>34</v>
      </c>
      <c r="B72" s="80"/>
      <c r="C72" s="80"/>
      <c r="D72" s="81"/>
    </row>
    <row r="73" spans="1:4" ht="31.2" x14ac:dyDescent="0.3">
      <c r="A73" s="43">
        <v>1</v>
      </c>
      <c r="B73" s="44" t="s">
        <v>88</v>
      </c>
      <c r="C73" s="48">
        <v>1</v>
      </c>
      <c r="D73" s="44"/>
    </row>
    <row r="74" spans="1:4" ht="31.2" x14ac:dyDescent="0.3">
      <c r="A74" s="43">
        <v>2</v>
      </c>
      <c r="B74" s="45" t="s">
        <v>99</v>
      </c>
      <c r="C74" s="49">
        <v>1</v>
      </c>
      <c r="D74" s="45"/>
    </row>
    <row r="75" spans="1:4" ht="15.6" x14ac:dyDescent="0.3">
      <c r="A75" s="43">
        <v>3</v>
      </c>
      <c r="B75" s="44" t="s">
        <v>100</v>
      </c>
      <c r="C75" s="48">
        <v>1</v>
      </c>
      <c r="D75" s="44"/>
    </row>
    <row r="76" spans="1:4" ht="31.2" x14ac:dyDescent="0.3">
      <c r="A76" s="43">
        <v>4</v>
      </c>
      <c r="B76" s="45" t="s">
        <v>101</v>
      </c>
      <c r="C76" s="49">
        <v>1</v>
      </c>
      <c r="D76" s="45"/>
    </row>
    <row r="77" spans="1:4" ht="46.8" x14ac:dyDescent="0.3">
      <c r="A77" s="43">
        <v>5</v>
      </c>
      <c r="B77" s="44" t="s">
        <v>102</v>
      </c>
      <c r="C77" s="48">
        <v>1</v>
      </c>
      <c r="D77" s="44"/>
    </row>
    <row r="78" spans="1:4" ht="31.2" x14ac:dyDescent="0.3">
      <c r="A78" s="43">
        <v>6</v>
      </c>
      <c r="B78" s="45" t="s">
        <v>103</v>
      </c>
      <c r="C78" s="49">
        <v>1</v>
      </c>
      <c r="D78" s="45"/>
    </row>
    <row r="79" spans="1:4" ht="15.6" customHeight="1" x14ac:dyDescent="0.3">
      <c r="A79" s="79" t="s">
        <v>40</v>
      </c>
      <c r="B79" s="80"/>
      <c r="C79" s="80"/>
      <c r="D79" s="81"/>
    </row>
    <row r="80" spans="1:4" ht="15.6" x14ac:dyDescent="0.3">
      <c r="A80" s="43">
        <v>1</v>
      </c>
      <c r="B80" s="44" t="s">
        <v>104</v>
      </c>
      <c r="C80" s="48">
        <v>1</v>
      </c>
      <c r="D80" s="44"/>
    </row>
    <row r="81" spans="1:4" ht="15.6" x14ac:dyDescent="0.3">
      <c r="A81" s="43">
        <v>2</v>
      </c>
      <c r="B81" s="45" t="s">
        <v>106</v>
      </c>
      <c r="C81" s="49">
        <v>1</v>
      </c>
      <c r="D81" s="45"/>
    </row>
    <row r="82" spans="1:4" ht="15.6" x14ac:dyDescent="0.3">
      <c r="A82" s="43">
        <v>3</v>
      </c>
      <c r="B82" s="44" t="s">
        <v>138</v>
      </c>
      <c r="C82" s="48">
        <v>1</v>
      </c>
      <c r="D82" s="44"/>
    </row>
    <row r="83" spans="1:4" ht="15.6" x14ac:dyDescent="0.3">
      <c r="A83" s="43">
        <v>4</v>
      </c>
      <c r="B83" s="45" t="s">
        <v>139</v>
      </c>
      <c r="C83" s="49">
        <v>1</v>
      </c>
      <c r="D83" s="45"/>
    </row>
    <row r="84" spans="1:4" ht="15.6" x14ac:dyDescent="0.3">
      <c r="A84" s="43">
        <v>5</v>
      </c>
      <c r="B84" s="44" t="s">
        <v>140</v>
      </c>
      <c r="C84" s="48">
        <v>1</v>
      </c>
      <c r="D84" s="44"/>
    </row>
    <row r="85" spans="1:4" ht="31.2" x14ac:dyDescent="0.3">
      <c r="A85" s="43">
        <v>6</v>
      </c>
      <c r="B85" s="45" t="s">
        <v>109</v>
      </c>
      <c r="C85" s="49">
        <v>1</v>
      </c>
      <c r="D85" s="45"/>
    </row>
    <row r="86" spans="1:4" ht="31.2" x14ac:dyDescent="0.3">
      <c r="A86" s="43">
        <v>7</v>
      </c>
      <c r="B86" s="44" t="s">
        <v>110</v>
      </c>
      <c r="C86" s="48">
        <v>1</v>
      </c>
      <c r="D86" s="44"/>
    </row>
    <row r="87" spans="1:4" ht="15.6" x14ac:dyDescent="0.3">
      <c r="A87" s="43">
        <v>8</v>
      </c>
      <c r="B87" s="45" t="s">
        <v>141</v>
      </c>
      <c r="C87" s="49">
        <v>1</v>
      </c>
      <c r="D87" s="45"/>
    </row>
    <row r="88" spans="1:4" ht="15.6" x14ac:dyDescent="0.3">
      <c r="A88" s="43">
        <v>9</v>
      </c>
      <c r="B88" s="44" t="s">
        <v>142</v>
      </c>
      <c r="C88" s="48">
        <v>1</v>
      </c>
      <c r="D88" s="44"/>
    </row>
    <row r="89" spans="1:4" ht="31.2" x14ac:dyDescent="0.3">
      <c r="A89" s="43">
        <v>10</v>
      </c>
      <c r="B89" s="45" t="s">
        <v>143</v>
      </c>
      <c r="C89" s="49">
        <v>1</v>
      </c>
      <c r="D89" s="45"/>
    </row>
    <row r="90" spans="1:4" ht="31.2" x14ac:dyDescent="0.3">
      <c r="A90" s="43">
        <v>11</v>
      </c>
      <c r="B90" s="44" t="s">
        <v>144</v>
      </c>
      <c r="C90" s="48">
        <v>1</v>
      </c>
      <c r="D90" s="44"/>
    </row>
    <row r="95" spans="1:4" ht="46.2" x14ac:dyDescent="0.3">
      <c r="B95" s="53" t="s">
        <v>113</v>
      </c>
      <c r="C95" s="52">
        <f>(COUNTIF(C13:$C$90,0)+COUNTIF(C13:$C$90,1)+COUNTIF(C13:$C$90,2))/70</f>
        <v>1</v>
      </c>
    </row>
  </sheetData>
  <mergeCells count="14">
    <mergeCell ref="A12:D12"/>
    <mergeCell ref="A1:A5"/>
    <mergeCell ref="B1:D5"/>
    <mergeCell ref="C6:D6"/>
    <mergeCell ref="C7:D7"/>
    <mergeCell ref="C8:D8"/>
    <mergeCell ref="A72:D72"/>
    <mergeCell ref="A79:D79"/>
    <mergeCell ref="A22:D22"/>
    <mergeCell ref="A28:D28"/>
    <mergeCell ref="A36:D36"/>
    <mergeCell ref="A44:D44"/>
    <mergeCell ref="A56:D56"/>
    <mergeCell ref="A68:D6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D3A967-2BA6-49AE-AF0E-FB37C8780D8F}">
          <x14:formula1>
            <xm:f>Hoja1!$A$1:$A$3</xm:f>
          </x14:formula1>
          <xm:sqref>C13:C21 C37:C43 C45:C55 C73:C78 C23:C27 C29:C35 C57:C67 C80:C89 C69:C71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7D59-5BCC-4D5E-ABEB-38008968A504}">
  <dimension ref="A1:D8"/>
  <sheetViews>
    <sheetView showGridLines="0" zoomScale="80" zoomScaleNormal="80" workbookViewId="0">
      <selection activeCell="D8" sqref="D8"/>
    </sheetView>
  </sheetViews>
  <sheetFormatPr baseColWidth="10" defaultColWidth="9.109375" defaultRowHeight="14.4" x14ac:dyDescent="0.3"/>
  <cols>
    <col min="1" max="1" width="13.109375" style="41" customWidth="1"/>
    <col min="2" max="2" width="105" customWidth="1"/>
    <col min="3" max="3" width="21.109375" style="41" customWidth="1"/>
    <col min="4" max="4" width="37.44140625" customWidth="1"/>
    <col min="5" max="5" width="9.109375" customWidth="1"/>
  </cols>
  <sheetData>
    <row r="1" spans="1:4" ht="15" customHeight="1" x14ac:dyDescent="0.3">
      <c r="A1" s="78"/>
      <c r="B1" s="77" t="s">
        <v>114</v>
      </c>
      <c r="C1" s="77"/>
      <c r="D1" s="77"/>
    </row>
    <row r="2" spans="1:4" x14ac:dyDescent="0.3">
      <c r="A2" s="78"/>
      <c r="B2" s="77"/>
      <c r="C2" s="77"/>
      <c r="D2" s="77"/>
    </row>
    <row r="3" spans="1:4" x14ac:dyDescent="0.3">
      <c r="A3" s="78"/>
      <c r="B3" s="77"/>
      <c r="C3" s="77"/>
      <c r="D3" s="77"/>
    </row>
    <row r="4" spans="1:4" x14ac:dyDescent="0.3">
      <c r="A4" s="78"/>
      <c r="B4" s="77"/>
      <c r="C4" s="77"/>
      <c r="D4" s="77"/>
    </row>
    <row r="5" spans="1:4" x14ac:dyDescent="0.3">
      <c r="A5" s="78"/>
      <c r="B5" s="77"/>
      <c r="C5" s="77"/>
      <c r="D5" s="77"/>
    </row>
    <row r="6" spans="1:4" ht="115.2" customHeight="1" x14ac:dyDescent="0.3">
      <c r="B6" s="55" t="s">
        <v>1</v>
      </c>
      <c r="C6" s="82" t="s">
        <v>2</v>
      </c>
      <c r="D6" s="83"/>
    </row>
    <row r="7" spans="1:4" ht="92.4" customHeight="1" x14ac:dyDescent="0.3">
      <c r="B7" s="69" t="s">
        <v>164</v>
      </c>
      <c r="C7" s="70"/>
      <c r="D7" s="71" t="s">
        <v>165</v>
      </c>
    </row>
    <row r="8" spans="1:4" ht="97.2" customHeight="1" x14ac:dyDescent="0.3">
      <c r="B8" s="69" t="s">
        <v>168</v>
      </c>
      <c r="C8" s="70"/>
      <c r="D8" s="71" t="s">
        <v>166</v>
      </c>
    </row>
  </sheetData>
  <mergeCells count="3">
    <mergeCell ref="A1:A5"/>
    <mergeCell ref="B1:D5"/>
    <mergeCell ref="C6:D6"/>
  </mergeCells>
  <hyperlinks>
    <hyperlink ref="D7" location="Desarrollo!A1" display="Desarrollo" xr:uid="{06C2A4E1-BD63-4C9F-82B2-40B6DF3D4E9E}"/>
    <hyperlink ref="D8" location="'SW como Servicio'!A1" display="SW como Servicio" xr:uid="{B3811DFE-85A3-43BD-B6D1-F80346F3BFD4}"/>
  </hyperlink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4A47-1A87-43EA-BE77-516784D76871}">
  <dimension ref="A1:F97"/>
  <sheetViews>
    <sheetView showGridLines="0" tabSelected="1" topLeftCell="A14" zoomScale="110" zoomScaleNormal="110" workbookViewId="0">
      <selection activeCell="D87" sqref="D87"/>
    </sheetView>
  </sheetViews>
  <sheetFormatPr baseColWidth="10" defaultColWidth="9.109375" defaultRowHeight="14.4" x14ac:dyDescent="0.3"/>
  <cols>
    <col min="1" max="1" width="13.109375" style="41" customWidth="1"/>
    <col min="2" max="2" width="105.33203125" bestFit="1" customWidth="1"/>
    <col min="3" max="3" width="21.109375" style="41" customWidth="1"/>
    <col min="4" max="4" width="37.44140625" customWidth="1"/>
    <col min="5" max="5" width="9.109375" customWidth="1"/>
  </cols>
  <sheetData>
    <row r="1" spans="1:6" ht="15" customHeight="1" x14ac:dyDescent="0.3">
      <c r="A1" s="78"/>
      <c r="B1" s="77" t="s">
        <v>114</v>
      </c>
      <c r="C1" s="77"/>
      <c r="D1" s="77"/>
    </row>
    <row r="2" spans="1:6" x14ac:dyDescent="0.3">
      <c r="A2" s="78"/>
      <c r="B2" s="77"/>
      <c r="C2" s="77"/>
      <c r="D2" s="77"/>
    </row>
    <row r="3" spans="1:6" x14ac:dyDescent="0.3">
      <c r="A3" s="78"/>
      <c r="B3" s="77"/>
      <c r="C3" s="77"/>
      <c r="D3" s="77"/>
    </row>
    <row r="4" spans="1:6" x14ac:dyDescent="0.3">
      <c r="A4" s="78"/>
      <c r="B4" s="77"/>
      <c r="C4" s="77"/>
      <c r="D4" s="77"/>
    </row>
    <row r="5" spans="1:6" x14ac:dyDescent="0.3">
      <c r="A5" s="78"/>
      <c r="B5" s="77"/>
      <c r="C5" s="77"/>
      <c r="D5" s="77"/>
    </row>
    <row r="6" spans="1:6" ht="115.2" customHeight="1" x14ac:dyDescent="0.3">
      <c r="B6" s="55" t="s">
        <v>1</v>
      </c>
      <c r="C6" s="82" t="s">
        <v>2</v>
      </c>
      <c r="D6" s="83"/>
    </row>
    <row r="7" spans="1:6" x14ac:dyDescent="0.3">
      <c r="B7" s="55" t="s">
        <v>145</v>
      </c>
      <c r="C7" s="84"/>
      <c r="D7" s="85"/>
    </row>
    <row r="8" spans="1:6" x14ac:dyDescent="0.3">
      <c r="B8" s="55" t="s">
        <v>3</v>
      </c>
      <c r="C8" s="84"/>
      <c r="D8" s="85"/>
    </row>
    <row r="9" spans="1:6" ht="100.8" x14ac:dyDescent="0.3">
      <c r="B9" s="58" t="s">
        <v>4</v>
      </c>
      <c r="C9" s="54"/>
      <c r="D9" s="59" t="s">
        <v>150</v>
      </c>
      <c r="F9" s="72" t="s">
        <v>167</v>
      </c>
    </row>
    <row r="10" spans="1:6" x14ac:dyDescent="0.3">
      <c r="B10" s="21"/>
    </row>
    <row r="11" spans="1:6" ht="15.6" x14ac:dyDescent="0.3">
      <c r="A11" s="43"/>
      <c r="B11" s="42" t="s">
        <v>7</v>
      </c>
      <c r="C11" s="43" t="s">
        <v>113</v>
      </c>
      <c r="D11" s="43" t="s">
        <v>112</v>
      </c>
    </row>
    <row r="12" spans="1:6" ht="15.6" x14ac:dyDescent="0.3">
      <c r="A12" s="79" t="s">
        <v>56</v>
      </c>
      <c r="B12" s="80"/>
      <c r="C12" s="80"/>
      <c r="D12" s="81"/>
    </row>
    <row r="13" spans="1:6" ht="46.8" x14ac:dyDescent="0.3">
      <c r="A13" s="43">
        <v>1</v>
      </c>
      <c r="B13" s="44" t="s">
        <v>58</v>
      </c>
      <c r="C13" s="50">
        <v>1</v>
      </c>
      <c r="D13" s="44" t="s">
        <v>169</v>
      </c>
    </row>
    <row r="14" spans="1:6" ht="46.8" x14ac:dyDescent="0.3">
      <c r="A14" s="43">
        <v>2</v>
      </c>
      <c r="B14" s="45" t="s">
        <v>59</v>
      </c>
      <c r="C14" s="49">
        <v>1</v>
      </c>
      <c r="D14" s="45" t="s">
        <v>169</v>
      </c>
    </row>
    <row r="15" spans="1:6" ht="31.2" x14ac:dyDescent="0.3">
      <c r="A15" s="43">
        <v>3</v>
      </c>
      <c r="B15" s="44" t="s">
        <v>60</v>
      </c>
      <c r="C15" s="50">
        <v>1</v>
      </c>
      <c r="D15" s="44" t="s">
        <v>170</v>
      </c>
    </row>
    <row r="16" spans="1:6" ht="78" x14ac:dyDescent="0.3">
      <c r="A16" s="43">
        <v>4</v>
      </c>
      <c r="B16" s="45" t="s">
        <v>61</v>
      </c>
      <c r="C16" s="49">
        <v>1</v>
      </c>
      <c r="D16" s="45" t="s">
        <v>171</v>
      </c>
    </row>
    <row r="17" spans="1:4" ht="78" x14ac:dyDescent="0.3">
      <c r="A17" s="43">
        <v>5</v>
      </c>
      <c r="B17" s="44" t="s">
        <v>62</v>
      </c>
      <c r="C17" s="50">
        <v>1</v>
      </c>
      <c r="D17" s="44" t="s">
        <v>171</v>
      </c>
    </row>
    <row r="18" spans="1:4" ht="93.6" x14ac:dyDescent="0.3">
      <c r="A18" s="43">
        <v>6</v>
      </c>
      <c r="B18" s="45" t="s">
        <v>118</v>
      </c>
      <c r="C18" s="49">
        <v>1</v>
      </c>
      <c r="D18" s="45" t="s">
        <v>172</v>
      </c>
    </row>
    <row r="19" spans="1:4" ht="31.2" x14ac:dyDescent="0.3">
      <c r="A19" s="43">
        <v>7</v>
      </c>
      <c r="B19" s="44" t="s">
        <v>119</v>
      </c>
      <c r="C19" s="50">
        <v>1</v>
      </c>
      <c r="D19" s="44" t="s">
        <v>196</v>
      </c>
    </row>
    <row r="20" spans="1:4" ht="46.8" x14ac:dyDescent="0.3">
      <c r="A20" s="43">
        <v>8</v>
      </c>
      <c r="B20" s="45" t="s">
        <v>63</v>
      </c>
      <c r="C20" s="49">
        <v>1</v>
      </c>
      <c r="D20" s="45" t="s">
        <v>173</v>
      </c>
    </row>
    <row r="21" spans="1:4" ht="46.8" x14ac:dyDescent="0.3">
      <c r="A21" s="43">
        <v>9</v>
      </c>
      <c r="B21" s="44" t="s">
        <v>64</v>
      </c>
      <c r="C21" s="50">
        <v>1</v>
      </c>
      <c r="D21" s="44" t="s">
        <v>174</v>
      </c>
    </row>
    <row r="22" spans="1:4" ht="15.6" x14ac:dyDescent="0.3">
      <c r="A22" s="79" t="s">
        <v>10</v>
      </c>
      <c r="B22" s="80"/>
      <c r="C22" s="80"/>
      <c r="D22" s="81"/>
    </row>
    <row r="23" spans="1:4" ht="31.2" x14ac:dyDescent="0.3">
      <c r="A23" s="43">
        <v>1</v>
      </c>
      <c r="B23" s="46" t="s">
        <v>151</v>
      </c>
      <c r="C23" s="50">
        <v>1</v>
      </c>
      <c r="D23" s="46"/>
    </row>
    <row r="24" spans="1:4" ht="62.4" x14ac:dyDescent="0.3">
      <c r="A24" s="43">
        <v>2</v>
      </c>
      <c r="B24" s="45" t="s">
        <v>69</v>
      </c>
      <c r="C24" s="49">
        <v>1</v>
      </c>
      <c r="D24" s="45" t="s">
        <v>175</v>
      </c>
    </row>
    <row r="25" spans="1:4" ht="62.4" x14ac:dyDescent="0.3">
      <c r="A25" s="43">
        <v>3</v>
      </c>
      <c r="B25" s="46" t="s">
        <v>152</v>
      </c>
      <c r="C25" s="50">
        <v>0</v>
      </c>
      <c r="D25" s="46" t="s">
        <v>180</v>
      </c>
    </row>
    <row r="26" spans="1:4" ht="62.4" x14ac:dyDescent="0.3">
      <c r="A26" s="43">
        <v>4</v>
      </c>
      <c r="B26" s="45" t="s">
        <v>70</v>
      </c>
      <c r="C26" s="49">
        <v>1</v>
      </c>
      <c r="D26" s="45" t="s">
        <v>175</v>
      </c>
    </row>
    <row r="27" spans="1:4" ht="31.2" x14ac:dyDescent="0.3">
      <c r="A27" s="43">
        <v>5</v>
      </c>
      <c r="B27" s="46" t="s">
        <v>153</v>
      </c>
      <c r="C27" s="50">
        <v>1</v>
      </c>
      <c r="D27" s="46" t="s">
        <v>179</v>
      </c>
    </row>
    <row r="28" spans="1:4" ht="15.6" x14ac:dyDescent="0.3">
      <c r="A28" s="79" t="s">
        <v>71</v>
      </c>
      <c r="B28" s="80"/>
      <c r="C28" s="80"/>
      <c r="D28" s="81"/>
    </row>
    <row r="29" spans="1:4" ht="46.8" x14ac:dyDescent="0.3">
      <c r="A29" s="43">
        <v>1</v>
      </c>
      <c r="B29" s="46" t="s">
        <v>128</v>
      </c>
      <c r="C29" s="50">
        <v>1</v>
      </c>
      <c r="D29" s="46" t="s">
        <v>177</v>
      </c>
    </row>
    <row r="30" spans="1:4" ht="15.6" x14ac:dyDescent="0.3">
      <c r="A30" s="43">
        <v>2</v>
      </c>
      <c r="B30" s="45" t="s">
        <v>127</v>
      </c>
      <c r="C30" s="49">
        <v>0</v>
      </c>
      <c r="D30" s="45" t="s">
        <v>176</v>
      </c>
    </row>
    <row r="31" spans="1:4" ht="93.6" x14ac:dyDescent="0.3">
      <c r="A31" s="43">
        <v>3</v>
      </c>
      <c r="B31" s="46" t="s">
        <v>130</v>
      </c>
      <c r="C31" s="50">
        <v>1</v>
      </c>
      <c r="D31" s="46" t="s">
        <v>178</v>
      </c>
    </row>
    <row r="32" spans="1:4" ht="31.2" x14ac:dyDescent="0.3">
      <c r="A32" s="43">
        <v>4</v>
      </c>
      <c r="B32" s="45" t="s">
        <v>129</v>
      </c>
      <c r="C32" s="49">
        <v>1</v>
      </c>
      <c r="D32" s="45" t="s">
        <v>181</v>
      </c>
    </row>
    <row r="33" spans="1:4" ht="46.8" x14ac:dyDescent="0.3">
      <c r="A33" s="43">
        <v>5</v>
      </c>
      <c r="B33" s="46" t="s">
        <v>154</v>
      </c>
      <c r="C33" s="50">
        <v>1</v>
      </c>
      <c r="D33" s="46" t="s">
        <v>177</v>
      </c>
    </row>
    <row r="34" spans="1:4" ht="46.8" x14ac:dyDescent="0.3">
      <c r="A34" s="43">
        <v>6</v>
      </c>
      <c r="B34" s="45" t="s">
        <v>105</v>
      </c>
      <c r="C34" s="49">
        <v>1</v>
      </c>
      <c r="D34" s="45" t="s">
        <v>177</v>
      </c>
    </row>
    <row r="35" spans="1:4" ht="78" x14ac:dyDescent="0.3">
      <c r="A35" s="43">
        <v>7</v>
      </c>
      <c r="B35" s="66" t="s">
        <v>155</v>
      </c>
      <c r="C35" s="50">
        <v>0</v>
      </c>
      <c r="D35" s="67" t="s">
        <v>182</v>
      </c>
    </row>
    <row r="36" spans="1:4" ht="15.6" customHeight="1" x14ac:dyDescent="0.3">
      <c r="A36" s="79" t="s">
        <v>57</v>
      </c>
      <c r="B36" s="80"/>
      <c r="C36" s="80"/>
      <c r="D36" s="81"/>
    </row>
    <row r="37" spans="1:4" ht="46.8" x14ac:dyDescent="0.3">
      <c r="A37" s="43">
        <v>1</v>
      </c>
      <c r="B37" s="44" t="s">
        <v>156</v>
      </c>
      <c r="C37" s="50">
        <v>1</v>
      </c>
      <c r="D37" s="44" t="s">
        <v>183</v>
      </c>
    </row>
    <row r="38" spans="1:4" ht="31.2" x14ac:dyDescent="0.3">
      <c r="A38" s="43">
        <v>2</v>
      </c>
      <c r="B38" s="45" t="s">
        <v>65</v>
      </c>
      <c r="C38" s="49">
        <v>1</v>
      </c>
      <c r="D38" s="45"/>
    </row>
    <row r="39" spans="1:4" ht="31.2" x14ac:dyDescent="0.3">
      <c r="A39" s="43">
        <v>3</v>
      </c>
      <c r="B39" s="44" t="s">
        <v>75</v>
      </c>
      <c r="C39" s="50">
        <v>1</v>
      </c>
      <c r="D39" s="44" t="s">
        <v>184</v>
      </c>
    </row>
    <row r="40" spans="1:4" ht="31.2" x14ac:dyDescent="0.3">
      <c r="A40" s="43">
        <v>4</v>
      </c>
      <c r="B40" s="45" t="s">
        <v>76</v>
      </c>
      <c r="C40" s="49">
        <v>1</v>
      </c>
      <c r="D40" s="45" t="s">
        <v>184</v>
      </c>
    </row>
    <row r="41" spans="1:4" ht="31.2" x14ac:dyDescent="0.3">
      <c r="A41" s="43">
        <v>5</v>
      </c>
      <c r="B41" s="44" t="s">
        <v>77</v>
      </c>
      <c r="C41" s="50">
        <v>1</v>
      </c>
      <c r="D41" s="44" t="s">
        <v>184</v>
      </c>
    </row>
    <row r="42" spans="1:4" ht="31.2" x14ac:dyDescent="0.3">
      <c r="A42" s="43">
        <v>6</v>
      </c>
      <c r="B42" s="45" t="s">
        <v>78</v>
      </c>
      <c r="C42" s="49">
        <v>1</v>
      </c>
      <c r="D42" s="45" t="s">
        <v>184</v>
      </c>
    </row>
    <row r="43" spans="1:4" ht="15.6" x14ac:dyDescent="0.3">
      <c r="A43" s="43">
        <v>7</v>
      </c>
      <c r="B43" s="44" t="s">
        <v>79</v>
      </c>
      <c r="C43" s="50">
        <v>1</v>
      </c>
      <c r="D43" s="44"/>
    </row>
    <row r="44" spans="1:4" ht="15.6" customHeight="1" x14ac:dyDescent="0.3">
      <c r="A44" s="79" t="s">
        <v>17</v>
      </c>
      <c r="B44" s="80"/>
      <c r="C44" s="80"/>
      <c r="D44" s="81"/>
    </row>
    <row r="45" spans="1:4" ht="31.2" x14ac:dyDescent="0.3">
      <c r="A45" s="43">
        <v>1</v>
      </c>
      <c r="B45" s="46" t="s">
        <v>54</v>
      </c>
      <c r="C45" s="50">
        <v>1</v>
      </c>
      <c r="D45" s="46"/>
    </row>
    <row r="46" spans="1:4" ht="31.2" x14ac:dyDescent="0.3">
      <c r="A46" s="43">
        <v>2</v>
      </c>
      <c r="B46" s="45" t="s">
        <v>67</v>
      </c>
      <c r="C46" s="49">
        <v>1</v>
      </c>
      <c r="D46" s="45" t="s">
        <v>185</v>
      </c>
    </row>
    <row r="47" spans="1:4" ht="46.8" x14ac:dyDescent="0.3">
      <c r="A47" s="43">
        <v>3</v>
      </c>
      <c r="B47" s="46" t="s">
        <v>89</v>
      </c>
      <c r="C47" s="50">
        <v>1</v>
      </c>
      <c r="D47" s="46" t="s">
        <v>197</v>
      </c>
    </row>
    <row r="48" spans="1:4" ht="31.2" x14ac:dyDescent="0.3">
      <c r="A48" s="43">
        <v>4</v>
      </c>
      <c r="B48" s="45" t="s">
        <v>90</v>
      </c>
      <c r="C48" s="49">
        <v>1</v>
      </c>
      <c r="D48" s="45" t="s">
        <v>185</v>
      </c>
    </row>
    <row r="49" spans="1:4" ht="46.8" x14ac:dyDescent="0.3">
      <c r="A49" s="43">
        <v>5</v>
      </c>
      <c r="B49" s="46" t="s">
        <v>91</v>
      </c>
      <c r="C49" s="50">
        <v>1</v>
      </c>
      <c r="D49" s="46" t="s">
        <v>198</v>
      </c>
    </row>
    <row r="50" spans="1:4" ht="46.8" x14ac:dyDescent="0.3">
      <c r="A50" s="43">
        <v>6</v>
      </c>
      <c r="B50" s="45" t="s">
        <v>93</v>
      </c>
      <c r="C50" s="49">
        <v>1</v>
      </c>
      <c r="D50" s="45" t="s">
        <v>199</v>
      </c>
    </row>
    <row r="51" spans="1:4" ht="46.8" x14ac:dyDescent="0.3">
      <c r="A51" s="43">
        <v>7</v>
      </c>
      <c r="B51" s="46" t="s">
        <v>157</v>
      </c>
      <c r="C51" s="50">
        <v>1</v>
      </c>
      <c r="D51" s="46" t="s">
        <v>186</v>
      </c>
    </row>
    <row r="52" spans="1:4" ht="46.8" x14ac:dyDescent="0.3">
      <c r="A52" s="43">
        <v>8</v>
      </c>
      <c r="B52" s="45" t="s">
        <v>132</v>
      </c>
      <c r="C52" s="49">
        <v>1</v>
      </c>
      <c r="D52" s="45" t="s">
        <v>186</v>
      </c>
    </row>
    <row r="53" spans="1:4" ht="46.8" x14ac:dyDescent="0.3">
      <c r="A53" s="43">
        <v>9</v>
      </c>
      <c r="B53" s="46" t="s">
        <v>158</v>
      </c>
      <c r="C53" s="50">
        <v>1</v>
      </c>
      <c r="D53" s="46" t="s">
        <v>186</v>
      </c>
    </row>
    <row r="54" spans="1:4" ht="15.6" x14ac:dyDescent="0.3">
      <c r="A54" s="43">
        <v>10</v>
      </c>
      <c r="B54" s="45" t="s">
        <v>159</v>
      </c>
      <c r="C54" s="49">
        <v>0</v>
      </c>
      <c r="D54" s="45"/>
    </row>
    <row r="55" spans="1:4" ht="31.2" x14ac:dyDescent="0.3">
      <c r="A55" s="43">
        <v>11</v>
      </c>
      <c r="B55" s="46" t="s">
        <v>98</v>
      </c>
      <c r="C55" s="50">
        <v>1</v>
      </c>
      <c r="D55" s="46"/>
    </row>
    <row r="56" spans="1:4" ht="15.6" x14ac:dyDescent="0.3">
      <c r="A56" s="79" t="s">
        <v>80</v>
      </c>
      <c r="B56" s="80"/>
      <c r="C56" s="80"/>
      <c r="D56" s="81"/>
    </row>
    <row r="57" spans="1:4" ht="15.6" x14ac:dyDescent="0.3">
      <c r="A57" s="43">
        <v>1</v>
      </c>
      <c r="B57" s="44" t="s">
        <v>81</v>
      </c>
      <c r="C57" s="50">
        <v>1</v>
      </c>
      <c r="D57" s="44"/>
    </row>
    <row r="58" spans="1:4" ht="15.6" x14ac:dyDescent="0.3">
      <c r="A58" s="43">
        <v>2</v>
      </c>
      <c r="B58" s="45" t="s">
        <v>82</v>
      </c>
      <c r="C58" s="49">
        <v>1</v>
      </c>
      <c r="D58" s="45" t="s">
        <v>187</v>
      </c>
    </row>
    <row r="59" spans="1:4" ht="46.8" x14ac:dyDescent="0.3">
      <c r="A59" s="43">
        <v>3</v>
      </c>
      <c r="B59" s="44" t="s">
        <v>137</v>
      </c>
      <c r="C59" s="50">
        <v>1</v>
      </c>
      <c r="D59" s="44" t="s">
        <v>188</v>
      </c>
    </row>
    <row r="60" spans="1:4" ht="46.8" x14ac:dyDescent="0.3">
      <c r="A60" s="43">
        <v>4</v>
      </c>
      <c r="B60" s="45" t="s">
        <v>135</v>
      </c>
      <c r="C60" s="49">
        <v>1</v>
      </c>
      <c r="D60" s="45" t="s">
        <v>188</v>
      </c>
    </row>
    <row r="61" spans="1:4" ht="46.8" x14ac:dyDescent="0.3">
      <c r="A61" s="43">
        <v>5</v>
      </c>
      <c r="B61" s="44" t="s">
        <v>136</v>
      </c>
      <c r="C61" s="50">
        <v>1</v>
      </c>
      <c r="D61" s="44" t="s">
        <v>188</v>
      </c>
    </row>
    <row r="62" spans="1:4" ht="15.6" x14ac:dyDescent="0.3">
      <c r="A62" s="43">
        <v>6</v>
      </c>
      <c r="B62" s="45" t="s">
        <v>85</v>
      </c>
      <c r="C62" s="49">
        <v>1</v>
      </c>
      <c r="D62" s="45" t="s">
        <v>187</v>
      </c>
    </row>
    <row r="63" spans="1:4" ht="31.2" x14ac:dyDescent="0.3">
      <c r="A63" s="43">
        <v>7</v>
      </c>
      <c r="B63" s="44" t="s">
        <v>55</v>
      </c>
      <c r="C63" s="50">
        <v>1</v>
      </c>
      <c r="D63" s="44"/>
    </row>
    <row r="64" spans="1:4" ht="15.6" x14ac:dyDescent="0.3">
      <c r="A64" s="43">
        <v>8</v>
      </c>
      <c r="B64" s="45" t="s">
        <v>86</v>
      </c>
      <c r="C64" s="49">
        <v>1</v>
      </c>
      <c r="D64" s="45"/>
    </row>
    <row r="65" spans="1:4" ht="31.2" x14ac:dyDescent="0.3">
      <c r="A65" s="43">
        <v>9</v>
      </c>
      <c r="B65" s="44" t="s">
        <v>83</v>
      </c>
      <c r="C65" s="50">
        <v>1</v>
      </c>
      <c r="D65" s="44"/>
    </row>
    <row r="66" spans="1:4" ht="15.6" x14ac:dyDescent="0.3">
      <c r="A66" s="43">
        <v>10</v>
      </c>
      <c r="B66" s="45" t="s">
        <v>87</v>
      </c>
      <c r="C66" s="49">
        <v>1</v>
      </c>
      <c r="D66" s="45"/>
    </row>
    <row r="67" spans="1:4" ht="46.8" x14ac:dyDescent="0.3">
      <c r="A67" s="43">
        <v>11</v>
      </c>
      <c r="B67" s="44" t="s">
        <v>84</v>
      </c>
      <c r="C67" s="50">
        <v>1</v>
      </c>
      <c r="D67" s="44" t="s">
        <v>189</v>
      </c>
    </row>
    <row r="68" spans="1:4" ht="15.6" customHeight="1" x14ac:dyDescent="0.3">
      <c r="A68" s="79" t="s">
        <v>28</v>
      </c>
      <c r="B68" s="80"/>
      <c r="C68" s="80"/>
      <c r="D68" s="81"/>
    </row>
    <row r="69" spans="1:4" ht="15.6" x14ac:dyDescent="0.3">
      <c r="A69" s="62">
        <v>1</v>
      </c>
      <c r="B69" s="45" t="s">
        <v>133</v>
      </c>
      <c r="C69" s="49">
        <v>1</v>
      </c>
      <c r="D69" s="45"/>
    </row>
    <row r="70" spans="1:4" ht="15.6" x14ac:dyDescent="0.3">
      <c r="A70" s="62">
        <v>2</v>
      </c>
      <c r="B70" s="63" t="s">
        <v>147</v>
      </c>
      <c r="C70" s="50">
        <v>1</v>
      </c>
      <c r="D70" s="64"/>
    </row>
    <row r="71" spans="1:4" ht="31.2" x14ac:dyDescent="0.3">
      <c r="A71" s="62">
        <v>3</v>
      </c>
      <c r="B71" s="45" t="s">
        <v>134</v>
      </c>
      <c r="C71" s="49">
        <v>1</v>
      </c>
      <c r="D71" s="45"/>
    </row>
    <row r="72" spans="1:4" ht="15.6" customHeight="1" x14ac:dyDescent="0.3">
      <c r="A72" s="79" t="s">
        <v>34</v>
      </c>
      <c r="B72" s="80"/>
      <c r="C72" s="80"/>
      <c r="D72" s="81"/>
    </row>
    <row r="73" spans="1:4" ht="46.8" x14ac:dyDescent="0.3">
      <c r="A73" s="43">
        <v>1</v>
      </c>
      <c r="B73" s="44" t="s">
        <v>160</v>
      </c>
      <c r="C73" s="50">
        <v>1</v>
      </c>
      <c r="D73" s="44" t="s">
        <v>190</v>
      </c>
    </row>
    <row r="74" spans="1:4" ht="46.8" x14ac:dyDescent="0.3">
      <c r="A74" s="43">
        <v>2</v>
      </c>
      <c r="B74" s="45" t="s">
        <v>99</v>
      </c>
      <c r="C74" s="49">
        <v>1</v>
      </c>
      <c r="D74" s="45" t="s">
        <v>191</v>
      </c>
    </row>
    <row r="75" spans="1:4" ht="31.2" x14ac:dyDescent="0.3">
      <c r="A75" s="43">
        <v>3</v>
      </c>
      <c r="B75" s="44" t="s">
        <v>100</v>
      </c>
      <c r="C75" s="50">
        <v>1</v>
      </c>
      <c r="D75" s="44" t="s">
        <v>192</v>
      </c>
    </row>
    <row r="76" spans="1:4" ht="31.2" x14ac:dyDescent="0.3">
      <c r="A76" s="43">
        <v>4</v>
      </c>
      <c r="B76" s="45" t="s">
        <v>101</v>
      </c>
      <c r="C76" s="49">
        <v>1</v>
      </c>
      <c r="D76" s="45"/>
    </row>
    <row r="77" spans="1:4" ht="31.2" x14ac:dyDescent="0.3">
      <c r="A77" s="43">
        <v>5</v>
      </c>
      <c r="B77" s="44" t="s">
        <v>102</v>
      </c>
      <c r="C77" s="50">
        <v>1</v>
      </c>
      <c r="D77" s="44" t="s">
        <v>200</v>
      </c>
    </row>
    <row r="78" spans="1:4" ht="31.2" x14ac:dyDescent="0.3">
      <c r="A78" s="43">
        <v>6</v>
      </c>
      <c r="B78" s="45" t="s">
        <v>103</v>
      </c>
      <c r="C78" s="49">
        <v>1</v>
      </c>
      <c r="D78" s="45"/>
    </row>
    <row r="79" spans="1:4" ht="15.6" customHeight="1" x14ac:dyDescent="0.3">
      <c r="A79" s="79" t="s">
        <v>40</v>
      </c>
      <c r="B79" s="80"/>
      <c r="C79" s="80"/>
      <c r="D79" s="81"/>
    </row>
    <row r="80" spans="1:4" ht="31.2" x14ac:dyDescent="0.3">
      <c r="A80" s="43">
        <v>1</v>
      </c>
      <c r="B80" s="44" t="s">
        <v>162</v>
      </c>
      <c r="C80" s="50">
        <v>1</v>
      </c>
      <c r="D80" s="44"/>
    </row>
    <row r="81" spans="1:4" ht="46.8" x14ac:dyDescent="0.3">
      <c r="A81" s="43">
        <v>2</v>
      </c>
      <c r="B81" s="45" t="s">
        <v>106</v>
      </c>
      <c r="C81" s="49">
        <v>1</v>
      </c>
      <c r="D81" s="45" t="s">
        <v>193</v>
      </c>
    </row>
    <row r="82" spans="1:4" ht="46.8" x14ac:dyDescent="0.3">
      <c r="A82" s="43">
        <v>3</v>
      </c>
      <c r="B82" s="44" t="s">
        <v>138</v>
      </c>
      <c r="C82" s="50">
        <v>1</v>
      </c>
      <c r="D82" s="44" t="s">
        <v>193</v>
      </c>
    </row>
    <row r="83" spans="1:4" ht="46.8" x14ac:dyDescent="0.3">
      <c r="A83" s="43">
        <v>4</v>
      </c>
      <c r="B83" s="45" t="s">
        <v>139</v>
      </c>
      <c r="C83" s="49">
        <v>1</v>
      </c>
      <c r="D83" s="45" t="s">
        <v>177</v>
      </c>
    </row>
    <row r="84" spans="1:4" ht="15.6" x14ac:dyDescent="0.3">
      <c r="A84" s="43">
        <v>5</v>
      </c>
      <c r="B84" s="44" t="s">
        <v>140</v>
      </c>
      <c r="C84" s="50">
        <v>1</v>
      </c>
      <c r="D84" s="44"/>
    </row>
    <row r="85" spans="1:4" ht="46.8" x14ac:dyDescent="0.3">
      <c r="A85" s="43">
        <v>6</v>
      </c>
      <c r="B85" s="45" t="s">
        <v>161</v>
      </c>
      <c r="C85" s="49">
        <v>1</v>
      </c>
      <c r="D85" s="45" t="s">
        <v>194</v>
      </c>
    </row>
    <row r="86" spans="1:4" ht="31.2" x14ac:dyDescent="0.3">
      <c r="A86" s="43">
        <v>7</v>
      </c>
      <c r="B86" s="44" t="s">
        <v>110</v>
      </c>
      <c r="C86" s="50">
        <v>1</v>
      </c>
      <c r="D86" s="44"/>
    </row>
    <row r="87" spans="1:4" ht="31.2" x14ac:dyDescent="0.3">
      <c r="A87" s="43">
        <v>8</v>
      </c>
      <c r="B87" s="45" t="s">
        <v>141</v>
      </c>
      <c r="C87" s="49">
        <v>1</v>
      </c>
      <c r="D87" s="45" t="s">
        <v>201</v>
      </c>
    </row>
    <row r="88" spans="1:4" ht="31.2" x14ac:dyDescent="0.3">
      <c r="A88" s="43">
        <v>9</v>
      </c>
      <c r="B88" s="44" t="s">
        <v>142</v>
      </c>
      <c r="C88" s="50">
        <v>1</v>
      </c>
      <c r="D88" s="44" t="s">
        <v>192</v>
      </c>
    </row>
    <row r="89" spans="1:4" ht="31.2" x14ac:dyDescent="0.3">
      <c r="A89" s="43">
        <v>10</v>
      </c>
      <c r="B89" s="45" t="s">
        <v>143</v>
      </c>
      <c r="C89" s="49">
        <v>1</v>
      </c>
      <c r="D89" s="45"/>
    </row>
    <row r="90" spans="1:4" ht="31.2" x14ac:dyDescent="0.3">
      <c r="A90" s="43">
        <v>11</v>
      </c>
      <c r="B90" s="44" t="s">
        <v>163</v>
      </c>
      <c r="C90" s="50">
        <v>1</v>
      </c>
      <c r="D90" s="44" t="s">
        <v>195</v>
      </c>
    </row>
    <row r="97" spans="2:3" ht="46.2" x14ac:dyDescent="0.3">
      <c r="B97" s="53" t="s">
        <v>113</v>
      </c>
      <c r="C97" s="68">
        <f>(SUM(C13:C21)+SUM(C23:C27)+SUM(C29:C35)+SUM(C37:C43)+SUM(C45:C55)+SUM(C57:C67)+SUM(C69:C71)+SUM(C73:C78)+SUM(C80:C90))/70</f>
        <v>0.94285714285714284</v>
      </c>
    </row>
  </sheetData>
  <mergeCells count="14">
    <mergeCell ref="A72:D72"/>
    <mergeCell ref="A79:D79"/>
    <mergeCell ref="A22:D22"/>
    <mergeCell ref="A28:D28"/>
    <mergeCell ref="A36:D36"/>
    <mergeCell ref="A44:D44"/>
    <mergeCell ref="A56:D56"/>
    <mergeCell ref="A68:D68"/>
    <mergeCell ref="A12:D12"/>
    <mergeCell ref="A1:A5"/>
    <mergeCell ref="B1:D5"/>
    <mergeCell ref="C6:D6"/>
    <mergeCell ref="C7:D7"/>
    <mergeCell ref="C8:D8"/>
  </mergeCells>
  <hyperlinks>
    <hyperlink ref="F9" location="MENU!A1" display="Volver al Menu" xr:uid="{BBFC4967-D9A3-4D9D-AEB8-E76BF615465D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A8D0D6F-192D-4DC0-8996-FDA26485BC2C}">
          <x14:formula1>
            <xm:f>Hoja1!$A$1:$A$2</xm:f>
          </x14:formula1>
          <xm:sqref>C73:C78 C13:C21 C29:C35 C37:C43 C80:C90 C45:C55 C69:C71 C23:C27 C57:C67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C19EC-869A-4151-988D-A2461DF7097A}">
  <dimension ref="A1:H97"/>
  <sheetViews>
    <sheetView topLeftCell="A23" zoomScale="80" zoomScaleNormal="80" workbookViewId="0">
      <selection activeCell="C89" sqref="C89"/>
    </sheetView>
  </sheetViews>
  <sheetFormatPr baseColWidth="10" defaultColWidth="9.109375" defaultRowHeight="14.4" x14ac:dyDescent="0.3"/>
  <cols>
    <col min="1" max="1" width="13.109375" style="41" customWidth="1"/>
    <col min="2" max="2" width="105.33203125" bestFit="1" customWidth="1"/>
    <col min="3" max="3" width="21.109375" style="41" customWidth="1"/>
    <col min="4" max="4" width="37.44140625" customWidth="1"/>
    <col min="5" max="6" width="9.109375" customWidth="1"/>
  </cols>
  <sheetData>
    <row r="1" spans="1:8" ht="15" customHeight="1" x14ac:dyDescent="0.3">
      <c r="A1" s="78"/>
      <c r="B1" s="77" t="s">
        <v>114</v>
      </c>
      <c r="C1" s="77"/>
      <c r="D1" s="77"/>
    </row>
    <row r="2" spans="1:8" x14ac:dyDescent="0.3">
      <c r="A2" s="78"/>
      <c r="B2" s="77"/>
      <c r="C2" s="77"/>
      <c r="D2" s="77"/>
    </row>
    <row r="3" spans="1:8" x14ac:dyDescent="0.3">
      <c r="A3" s="78"/>
      <c r="B3" s="77"/>
      <c r="C3" s="77"/>
      <c r="D3" s="77"/>
    </row>
    <row r="4" spans="1:8" x14ac:dyDescent="0.3">
      <c r="A4" s="78"/>
      <c r="B4" s="77"/>
      <c r="C4" s="77"/>
      <c r="D4" s="77"/>
    </row>
    <row r="5" spans="1:8" x14ac:dyDescent="0.3">
      <c r="A5" s="78"/>
      <c r="B5" s="77"/>
      <c r="C5" s="77"/>
      <c r="D5" s="77"/>
    </row>
    <row r="6" spans="1:8" ht="115.2" customHeight="1" x14ac:dyDescent="0.3">
      <c r="B6" s="55" t="s">
        <v>1</v>
      </c>
      <c r="C6" s="82" t="s">
        <v>2</v>
      </c>
      <c r="D6" s="83"/>
    </row>
    <row r="7" spans="1:8" x14ac:dyDescent="0.3">
      <c r="B7" s="55" t="s">
        <v>145</v>
      </c>
      <c r="C7" s="84"/>
      <c r="D7" s="85"/>
    </row>
    <row r="8" spans="1:8" x14ac:dyDescent="0.3">
      <c r="B8" s="55" t="s">
        <v>3</v>
      </c>
      <c r="C8" s="84"/>
      <c r="D8" s="85"/>
    </row>
    <row r="9" spans="1:8" ht="100.8" x14ac:dyDescent="0.3">
      <c r="B9" s="58" t="s">
        <v>4</v>
      </c>
      <c r="C9" s="54"/>
      <c r="D9" s="59" t="s">
        <v>150</v>
      </c>
    </row>
    <row r="10" spans="1:8" x14ac:dyDescent="0.3">
      <c r="B10" s="21"/>
    </row>
    <row r="11" spans="1:8" ht="15.6" x14ac:dyDescent="0.3">
      <c r="A11" s="43"/>
      <c r="B11" s="42" t="s">
        <v>7</v>
      </c>
      <c r="C11" s="43" t="s">
        <v>113</v>
      </c>
      <c r="D11" s="43" t="s">
        <v>112</v>
      </c>
    </row>
    <row r="12" spans="1:8" ht="15.6" x14ac:dyDescent="0.3">
      <c r="A12" s="79" t="s">
        <v>56</v>
      </c>
      <c r="B12" s="80"/>
      <c r="C12" s="80"/>
      <c r="D12" s="81"/>
    </row>
    <row r="13" spans="1:8" ht="15.6" x14ac:dyDescent="0.3">
      <c r="A13" s="43">
        <v>1</v>
      </c>
      <c r="B13" s="44" t="s">
        <v>58</v>
      </c>
      <c r="C13" s="50">
        <v>1</v>
      </c>
      <c r="D13" s="44"/>
      <c r="H13" t="s">
        <v>148</v>
      </c>
    </row>
    <row r="14" spans="1:8" ht="31.2" x14ac:dyDescent="0.3">
      <c r="A14" s="43">
        <v>2</v>
      </c>
      <c r="B14" s="45" t="s">
        <v>59</v>
      </c>
      <c r="C14" s="49">
        <v>1</v>
      </c>
      <c r="D14" s="45"/>
      <c r="H14" t="s">
        <v>149</v>
      </c>
    </row>
    <row r="15" spans="1:8" ht="31.2" x14ac:dyDescent="0.3">
      <c r="A15" s="43">
        <v>3</v>
      </c>
      <c r="B15" s="44" t="s">
        <v>60</v>
      </c>
      <c r="C15" s="50">
        <v>1</v>
      </c>
      <c r="D15" s="44"/>
    </row>
    <row r="16" spans="1:8" ht="31.2" x14ac:dyDescent="0.3">
      <c r="A16" s="43">
        <v>4</v>
      </c>
      <c r="B16" s="45" t="s">
        <v>61</v>
      </c>
      <c r="C16" s="49">
        <v>1</v>
      </c>
      <c r="D16" s="45"/>
    </row>
    <row r="17" spans="1:6" ht="15.6" x14ac:dyDescent="0.3">
      <c r="A17" s="43">
        <v>5</v>
      </c>
      <c r="B17" s="44" t="s">
        <v>62</v>
      </c>
      <c r="C17" s="50">
        <v>1</v>
      </c>
      <c r="D17" s="44"/>
    </row>
    <row r="18" spans="1:6" ht="15.6" x14ac:dyDescent="0.3">
      <c r="A18" s="43">
        <v>6</v>
      </c>
      <c r="B18" s="45" t="s">
        <v>118</v>
      </c>
      <c r="C18" s="49">
        <v>1</v>
      </c>
      <c r="D18" s="45"/>
    </row>
    <row r="19" spans="1:6" ht="15.6" x14ac:dyDescent="0.3">
      <c r="A19" s="43">
        <v>7</v>
      </c>
      <c r="B19" s="44" t="s">
        <v>119</v>
      </c>
      <c r="C19" s="50">
        <v>1</v>
      </c>
      <c r="D19" s="44"/>
    </row>
    <row r="20" spans="1:6" ht="15.6" x14ac:dyDescent="0.3">
      <c r="A20" s="43">
        <v>8</v>
      </c>
      <c r="B20" s="45" t="s">
        <v>63</v>
      </c>
      <c r="C20" s="49">
        <v>1</v>
      </c>
      <c r="D20" s="45"/>
    </row>
    <row r="21" spans="1:6" ht="15.6" x14ac:dyDescent="0.3">
      <c r="A21" s="43">
        <v>9</v>
      </c>
      <c r="B21" s="44" t="s">
        <v>64</v>
      </c>
      <c r="C21" s="50">
        <v>1</v>
      </c>
      <c r="D21" s="44"/>
    </row>
    <row r="22" spans="1:6" ht="15.6" x14ac:dyDescent="0.3">
      <c r="A22" s="79" t="s">
        <v>10</v>
      </c>
      <c r="B22" s="80"/>
      <c r="C22" s="80"/>
      <c r="D22" s="81"/>
    </row>
    <row r="23" spans="1:6" ht="31.2" x14ac:dyDescent="0.3">
      <c r="A23" s="43">
        <v>1</v>
      </c>
      <c r="B23" s="46" t="s">
        <v>151</v>
      </c>
      <c r="C23" s="50">
        <v>1</v>
      </c>
      <c r="D23" s="46"/>
      <c r="F23" t="s">
        <v>116</v>
      </c>
    </row>
    <row r="24" spans="1:6" ht="31.2" x14ac:dyDescent="0.3">
      <c r="A24" s="43">
        <v>2</v>
      </c>
      <c r="B24" s="45" t="s">
        <v>69</v>
      </c>
      <c r="C24" s="49">
        <v>1</v>
      </c>
      <c r="D24" s="45"/>
    </row>
    <row r="25" spans="1:6" ht="15.6" x14ac:dyDescent="0.3">
      <c r="A25" s="43">
        <v>3</v>
      </c>
      <c r="B25" s="46" t="s">
        <v>152</v>
      </c>
      <c r="C25" s="50">
        <v>1</v>
      </c>
      <c r="D25" s="46"/>
    </row>
    <row r="26" spans="1:6" ht="31.2" x14ac:dyDescent="0.3">
      <c r="A26" s="43">
        <v>4</v>
      </c>
      <c r="B26" s="45" t="s">
        <v>70</v>
      </c>
      <c r="C26" s="49">
        <v>1</v>
      </c>
      <c r="D26" s="45"/>
    </row>
    <row r="27" spans="1:6" ht="31.2" x14ac:dyDescent="0.3">
      <c r="A27" s="43">
        <v>5</v>
      </c>
      <c r="B27" s="46" t="s">
        <v>153</v>
      </c>
      <c r="C27" s="50">
        <v>1</v>
      </c>
      <c r="D27" s="46"/>
      <c r="F27" t="s">
        <v>117</v>
      </c>
    </row>
    <row r="28" spans="1:6" ht="15.6" x14ac:dyDescent="0.3">
      <c r="A28" s="79" t="s">
        <v>71</v>
      </c>
      <c r="B28" s="80"/>
      <c r="C28" s="80"/>
      <c r="D28" s="81"/>
    </row>
    <row r="29" spans="1:6" ht="15.6" x14ac:dyDescent="0.3">
      <c r="A29" s="43">
        <v>1</v>
      </c>
      <c r="B29" s="46" t="s">
        <v>128</v>
      </c>
      <c r="C29" s="50">
        <v>1</v>
      </c>
      <c r="D29" s="46"/>
    </row>
    <row r="30" spans="1:6" ht="15.6" x14ac:dyDescent="0.3">
      <c r="A30" s="43">
        <v>2</v>
      </c>
      <c r="B30" s="45" t="s">
        <v>127</v>
      </c>
      <c r="C30" s="49">
        <v>1</v>
      </c>
      <c r="D30" s="45"/>
    </row>
    <row r="31" spans="1:6" ht="15.6" x14ac:dyDescent="0.3">
      <c r="A31" s="43">
        <v>3</v>
      </c>
      <c r="B31" s="46" t="s">
        <v>130</v>
      </c>
      <c r="C31" s="50">
        <v>1</v>
      </c>
      <c r="D31" s="46"/>
    </row>
    <row r="32" spans="1:6" ht="15.6" x14ac:dyDescent="0.3">
      <c r="A32" s="43">
        <v>4</v>
      </c>
      <c r="B32" s="45" t="s">
        <v>129</v>
      </c>
      <c r="C32" s="49">
        <v>1</v>
      </c>
      <c r="D32" s="45"/>
    </row>
    <row r="33" spans="1:6" ht="15.6" x14ac:dyDescent="0.3">
      <c r="A33" s="43">
        <v>5</v>
      </c>
      <c r="B33" s="46" t="s">
        <v>154</v>
      </c>
      <c r="C33" s="50">
        <v>1</v>
      </c>
      <c r="D33" s="46"/>
      <c r="F33" t="s">
        <v>120</v>
      </c>
    </row>
    <row r="34" spans="1:6" ht="15.6" x14ac:dyDescent="0.3">
      <c r="A34" s="43">
        <v>6</v>
      </c>
      <c r="B34" s="45" t="s">
        <v>105</v>
      </c>
      <c r="C34" s="49">
        <v>1</v>
      </c>
      <c r="D34" s="45"/>
    </row>
    <row r="35" spans="1:6" ht="15.6" x14ac:dyDescent="0.3">
      <c r="A35" s="43">
        <v>7</v>
      </c>
      <c r="B35" s="66" t="s">
        <v>155</v>
      </c>
      <c r="C35" s="50">
        <v>1</v>
      </c>
      <c r="D35" s="67"/>
    </row>
    <row r="36" spans="1:6" ht="15.6" customHeight="1" x14ac:dyDescent="0.3">
      <c r="A36" s="79" t="s">
        <v>57</v>
      </c>
      <c r="B36" s="80"/>
      <c r="C36" s="80"/>
      <c r="D36" s="81"/>
    </row>
    <row r="37" spans="1:6" ht="15.6" x14ac:dyDescent="0.3">
      <c r="A37" s="43">
        <v>1</v>
      </c>
      <c r="B37" s="44" t="s">
        <v>156</v>
      </c>
      <c r="C37" s="50">
        <v>1</v>
      </c>
      <c r="D37" s="44"/>
      <c r="F37" t="s">
        <v>116</v>
      </c>
    </row>
    <row r="38" spans="1:6" ht="31.2" x14ac:dyDescent="0.3">
      <c r="A38" s="43">
        <v>2</v>
      </c>
      <c r="B38" s="45" t="s">
        <v>65</v>
      </c>
      <c r="C38" s="49">
        <v>1</v>
      </c>
      <c r="D38" s="45"/>
      <c r="F38" t="s">
        <v>116</v>
      </c>
    </row>
    <row r="39" spans="1:6" ht="15.6" x14ac:dyDescent="0.3">
      <c r="A39" s="43">
        <v>3</v>
      </c>
      <c r="B39" s="44" t="s">
        <v>75</v>
      </c>
      <c r="C39" s="50">
        <v>1</v>
      </c>
      <c r="D39" s="44"/>
      <c r="F39" t="s">
        <v>116</v>
      </c>
    </row>
    <row r="40" spans="1:6" ht="31.2" x14ac:dyDescent="0.3">
      <c r="A40" s="43">
        <v>4</v>
      </c>
      <c r="B40" s="45" t="s">
        <v>76</v>
      </c>
      <c r="C40" s="49">
        <v>1</v>
      </c>
      <c r="D40" s="45"/>
      <c r="F40" t="s">
        <v>116</v>
      </c>
    </row>
    <row r="41" spans="1:6" ht="15.6" x14ac:dyDescent="0.3">
      <c r="A41" s="43">
        <v>5</v>
      </c>
      <c r="B41" s="44" t="s">
        <v>77</v>
      </c>
      <c r="C41" s="50">
        <v>1</v>
      </c>
      <c r="D41" s="44"/>
      <c r="F41" t="s">
        <v>116</v>
      </c>
    </row>
    <row r="42" spans="1:6" ht="31.2" x14ac:dyDescent="0.3">
      <c r="A42" s="43">
        <v>6</v>
      </c>
      <c r="B42" s="45" t="s">
        <v>78</v>
      </c>
      <c r="C42" s="49">
        <v>1</v>
      </c>
      <c r="D42" s="45"/>
      <c r="F42" t="s">
        <v>116</v>
      </c>
    </row>
    <row r="43" spans="1:6" ht="15.6" x14ac:dyDescent="0.3">
      <c r="A43" s="43">
        <v>7</v>
      </c>
      <c r="B43" s="44" t="s">
        <v>79</v>
      </c>
      <c r="C43" s="50">
        <v>1</v>
      </c>
      <c r="D43" s="44"/>
      <c r="F43" t="s">
        <v>116</v>
      </c>
    </row>
    <row r="44" spans="1:6" ht="15.6" customHeight="1" x14ac:dyDescent="0.3">
      <c r="A44" s="79" t="s">
        <v>17</v>
      </c>
      <c r="B44" s="80"/>
      <c r="C44" s="80"/>
      <c r="D44" s="81"/>
    </row>
    <row r="45" spans="1:6" ht="31.2" x14ac:dyDescent="0.3">
      <c r="A45" s="43">
        <v>1</v>
      </c>
      <c r="B45" s="46" t="s">
        <v>54</v>
      </c>
      <c r="C45" s="50">
        <v>1</v>
      </c>
      <c r="D45" s="46"/>
    </row>
    <row r="46" spans="1:6" ht="15.6" x14ac:dyDescent="0.3">
      <c r="A46" s="43">
        <v>2</v>
      </c>
      <c r="B46" s="45" t="s">
        <v>67</v>
      </c>
      <c r="C46" s="49">
        <v>1</v>
      </c>
      <c r="D46" s="45"/>
    </row>
    <row r="47" spans="1:6" ht="15.6" x14ac:dyDescent="0.3">
      <c r="A47" s="43">
        <v>3</v>
      </c>
      <c r="B47" s="46" t="s">
        <v>89</v>
      </c>
      <c r="C47" s="50">
        <v>1</v>
      </c>
      <c r="D47" s="46"/>
    </row>
    <row r="48" spans="1:6" ht="15.6" x14ac:dyDescent="0.3">
      <c r="A48" s="43">
        <v>4</v>
      </c>
      <c r="B48" s="45" t="s">
        <v>90</v>
      </c>
      <c r="C48" s="49">
        <v>1</v>
      </c>
      <c r="D48" s="45"/>
    </row>
    <row r="49" spans="1:6" ht="15.6" x14ac:dyDescent="0.3">
      <c r="A49" s="43">
        <v>5</v>
      </c>
      <c r="B49" s="46" t="s">
        <v>91</v>
      </c>
      <c r="C49" s="50">
        <v>1</v>
      </c>
      <c r="D49" s="46"/>
    </row>
    <row r="50" spans="1:6" ht="31.2" x14ac:dyDescent="0.3">
      <c r="A50" s="43">
        <v>6</v>
      </c>
      <c r="B50" s="45" t="s">
        <v>93</v>
      </c>
      <c r="C50" s="49">
        <v>1</v>
      </c>
      <c r="D50" s="45"/>
    </row>
    <row r="51" spans="1:6" ht="31.2" x14ac:dyDescent="0.3">
      <c r="A51" s="43">
        <v>7</v>
      </c>
      <c r="B51" s="46" t="s">
        <v>157</v>
      </c>
      <c r="C51" s="50">
        <v>1</v>
      </c>
      <c r="D51" s="46"/>
    </row>
    <row r="52" spans="1:6" ht="15.6" x14ac:dyDescent="0.3">
      <c r="A52" s="43">
        <v>8</v>
      </c>
      <c r="B52" s="45" t="s">
        <v>132</v>
      </c>
      <c r="C52" s="49">
        <v>1</v>
      </c>
      <c r="D52" s="45"/>
      <c r="F52" t="s">
        <v>122</v>
      </c>
    </row>
    <row r="53" spans="1:6" ht="15.6" x14ac:dyDescent="0.3">
      <c r="A53" s="43">
        <v>9</v>
      </c>
      <c r="B53" s="46" t="s">
        <v>158</v>
      </c>
      <c r="C53" s="50">
        <v>1</v>
      </c>
      <c r="D53" s="46"/>
    </row>
    <row r="54" spans="1:6" ht="15.6" x14ac:dyDescent="0.3">
      <c r="A54" s="43">
        <v>10</v>
      </c>
      <c r="B54" s="45" t="s">
        <v>159</v>
      </c>
      <c r="C54" s="49">
        <v>1</v>
      </c>
      <c r="D54" s="45"/>
    </row>
    <row r="55" spans="1:6" ht="31.2" x14ac:dyDescent="0.3">
      <c r="A55" s="43">
        <v>11</v>
      </c>
      <c r="B55" s="46" t="s">
        <v>98</v>
      </c>
      <c r="C55" s="50">
        <v>1</v>
      </c>
      <c r="D55" s="46"/>
    </row>
    <row r="56" spans="1:6" ht="15.6" x14ac:dyDescent="0.3">
      <c r="A56" s="79" t="s">
        <v>80</v>
      </c>
      <c r="B56" s="80"/>
      <c r="C56" s="80"/>
      <c r="D56" s="81"/>
    </row>
    <row r="57" spans="1:6" ht="15.6" x14ac:dyDescent="0.3">
      <c r="A57" s="43">
        <v>1</v>
      </c>
      <c r="B57" s="44" t="s">
        <v>81</v>
      </c>
      <c r="C57" s="50">
        <v>1</v>
      </c>
      <c r="D57" s="44"/>
      <c r="F57" t="s">
        <v>116</v>
      </c>
    </row>
    <row r="58" spans="1:6" ht="15.6" x14ac:dyDescent="0.3">
      <c r="A58" s="43">
        <v>2</v>
      </c>
      <c r="B58" s="45" t="s">
        <v>82</v>
      </c>
      <c r="C58" s="49">
        <v>1</v>
      </c>
      <c r="D58" s="45"/>
    </row>
    <row r="59" spans="1:6" ht="15.6" x14ac:dyDescent="0.3">
      <c r="A59" s="43">
        <v>3</v>
      </c>
      <c r="B59" s="44" t="s">
        <v>137</v>
      </c>
      <c r="C59" s="50">
        <v>1</v>
      </c>
      <c r="D59" s="44"/>
    </row>
    <row r="60" spans="1:6" ht="15.6" x14ac:dyDescent="0.3">
      <c r="A60" s="43">
        <v>4</v>
      </c>
      <c r="B60" s="45" t="s">
        <v>135</v>
      </c>
      <c r="C60" s="49">
        <v>1</v>
      </c>
      <c r="D60" s="45"/>
    </row>
    <row r="61" spans="1:6" ht="15.6" x14ac:dyDescent="0.3">
      <c r="A61" s="43">
        <v>5</v>
      </c>
      <c r="B61" s="44" t="s">
        <v>136</v>
      </c>
      <c r="C61" s="50">
        <v>1</v>
      </c>
      <c r="D61" s="44"/>
    </row>
    <row r="62" spans="1:6" ht="15.6" x14ac:dyDescent="0.3">
      <c r="A62" s="43">
        <v>6</v>
      </c>
      <c r="B62" s="45" t="s">
        <v>85</v>
      </c>
      <c r="C62" s="49">
        <v>1</v>
      </c>
      <c r="D62" s="45"/>
    </row>
    <row r="63" spans="1:6" ht="31.2" x14ac:dyDescent="0.3">
      <c r="A63" s="43">
        <v>7</v>
      </c>
      <c r="B63" s="44" t="s">
        <v>55</v>
      </c>
      <c r="C63" s="50">
        <v>1</v>
      </c>
      <c r="D63" s="44"/>
    </row>
    <row r="64" spans="1:6" ht="15.6" x14ac:dyDescent="0.3">
      <c r="A64" s="43">
        <v>8</v>
      </c>
      <c r="B64" s="45" t="s">
        <v>86</v>
      </c>
      <c r="C64" s="49">
        <v>1</v>
      </c>
      <c r="D64" s="45"/>
    </row>
    <row r="65" spans="1:4" ht="31.2" x14ac:dyDescent="0.3">
      <c r="A65" s="43">
        <v>9</v>
      </c>
      <c r="B65" s="44" t="s">
        <v>83</v>
      </c>
      <c r="C65" s="50">
        <v>1</v>
      </c>
      <c r="D65" s="44"/>
    </row>
    <row r="66" spans="1:4" ht="15.6" x14ac:dyDescent="0.3">
      <c r="A66" s="43">
        <v>10</v>
      </c>
      <c r="B66" s="45" t="s">
        <v>87</v>
      </c>
      <c r="C66" s="49">
        <v>1</v>
      </c>
      <c r="D66" s="45"/>
    </row>
    <row r="67" spans="1:4" ht="15.6" x14ac:dyDescent="0.3">
      <c r="A67" s="43">
        <v>11</v>
      </c>
      <c r="B67" s="44" t="s">
        <v>84</v>
      </c>
      <c r="C67" s="50">
        <v>1</v>
      </c>
      <c r="D67" s="44"/>
    </row>
    <row r="68" spans="1:4" ht="15.6" customHeight="1" x14ac:dyDescent="0.3">
      <c r="A68" s="79" t="s">
        <v>28</v>
      </c>
      <c r="B68" s="80"/>
      <c r="C68" s="80"/>
      <c r="D68" s="81"/>
    </row>
    <row r="69" spans="1:4" ht="15.6" x14ac:dyDescent="0.3">
      <c r="A69" s="62">
        <v>1</v>
      </c>
      <c r="B69" s="45" t="s">
        <v>133</v>
      </c>
      <c r="C69" s="49">
        <v>1</v>
      </c>
      <c r="D69" s="45"/>
    </row>
    <row r="70" spans="1:4" ht="15.6" x14ac:dyDescent="0.3">
      <c r="A70" s="62">
        <v>2</v>
      </c>
      <c r="B70" s="63" t="s">
        <v>147</v>
      </c>
      <c r="C70" s="50">
        <v>1</v>
      </c>
      <c r="D70" s="64"/>
    </row>
    <row r="71" spans="1:4" ht="31.2" x14ac:dyDescent="0.3">
      <c r="A71" s="62">
        <v>3</v>
      </c>
      <c r="B71" s="45" t="s">
        <v>134</v>
      </c>
      <c r="C71" s="49">
        <v>1</v>
      </c>
      <c r="D71" s="45"/>
    </row>
    <row r="72" spans="1:4" ht="15.6" customHeight="1" x14ac:dyDescent="0.3">
      <c r="A72" s="79" t="s">
        <v>34</v>
      </c>
      <c r="B72" s="80"/>
      <c r="C72" s="80"/>
      <c r="D72" s="81"/>
    </row>
    <row r="73" spans="1:4" ht="31.2" x14ac:dyDescent="0.3">
      <c r="A73" s="43">
        <v>1</v>
      </c>
      <c r="B73" s="44" t="s">
        <v>160</v>
      </c>
      <c r="C73" s="50">
        <v>1</v>
      </c>
      <c r="D73" s="44"/>
    </row>
    <row r="74" spans="1:4" ht="31.2" x14ac:dyDescent="0.3">
      <c r="A74" s="43">
        <v>2</v>
      </c>
      <c r="B74" s="45" t="s">
        <v>99</v>
      </c>
      <c r="C74" s="49">
        <v>1</v>
      </c>
      <c r="D74" s="45"/>
    </row>
    <row r="75" spans="1:4" ht="15.6" x14ac:dyDescent="0.3">
      <c r="A75" s="43">
        <v>3</v>
      </c>
      <c r="B75" s="44" t="s">
        <v>100</v>
      </c>
      <c r="C75" s="50">
        <v>1</v>
      </c>
      <c r="D75" s="44"/>
    </row>
    <row r="76" spans="1:4" ht="31.2" x14ac:dyDescent="0.3">
      <c r="A76" s="43">
        <v>4</v>
      </c>
      <c r="B76" s="45" t="s">
        <v>101</v>
      </c>
      <c r="C76" s="49">
        <v>1</v>
      </c>
      <c r="D76" s="45"/>
    </row>
    <row r="77" spans="1:4" ht="46.8" x14ac:dyDescent="0.3">
      <c r="A77" s="43">
        <v>5</v>
      </c>
      <c r="B77" s="44" t="s">
        <v>102</v>
      </c>
      <c r="C77" s="50">
        <v>1</v>
      </c>
      <c r="D77" s="44"/>
    </row>
    <row r="78" spans="1:4" ht="31.2" x14ac:dyDescent="0.3">
      <c r="A78" s="43">
        <v>6</v>
      </c>
      <c r="B78" s="45" t="s">
        <v>103</v>
      </c>
      <c r="C78" s="49">
        <v>1</v>
      </c>
      <c r="D78" s="45"/>
    </row>
    <row r="79" spans="1:4" ht="15.6" customHeight="1" x14ac:dyDescent="0.3">
      <c r="A79" s="79" t="s">
        <v>40</v>
      </c>
      <c r="B79" s="80"/>
      <c r="C79" s="80"/>
      <c r="D79" s="81"/>
    </row>
    <row r="80" spans="1:4" ht="31.2" x14ac:dyDescent="0.3">
      <c r="A80" s="43">
        <v>1</v>
      </c>
      <c r="B80" s="44" t="s">
        <v>162</v>
      </c>
      <c r="C80" s="50">
        <v>0</v>
      </c>
      <c r="D80" s="44"/>
    </row>
    <row r="81" spans="1:4" ht="15.6" x14ac:dyDescent="0.3">
      <c r="A81" s="43">
        <v>2</v>
      </c>
      <c r="B81" s="45" t="s">
        <v>106</v>
      </c>
      <c r="C81" s="49">
        <v>0</v>
      </c>
      <c r="D81" s="45"/>
    </row>
    <row r="82" spans="1:4" ht="15.6" x14ac:dyDescent="0.3">
      <c r="A82" s="43">
        <v>3</v>
      </c>
      <c r="B82" s="44" t="s">
        <v>138</v>
      </c>
      <c r="C82" s="50">
        <v>0</v>
      </c>
      <c r="D82" s="44"/>
    </row>
    <row r="83" spans="1:4" ht="15.6" x14ac:dyDescent="0.3">
      <c r="A83" s="43">
        <v>4</v>
      </c>
      <c r="B83" s="45" t="s">
        <v>139</v>
      </c>
      <c r="C83" s="49">
        <v>1</v>
      </c>
      <c r="D83" s="45"/>
    </row>
    <row r="84" spans="1:4" ht="15.6" x14ac:dyDescent="0.3">
      <c r="A84" s="43">
        <v>5</v>
      </c>
      <c r="B84" s="44" t="s">
        <v>140</v>
      </c>
      <c r="C84" s="50">
        <v>1</v>
      </c>
      <c r="D84" s="44"/>
    </row>
    <row r="85" spans="1:4" ht="31.2" x14ac:dyDescent="0.3">
      <c r="A85" s="43">
        <v>6</v>
      </c>
      <c r="B85" s="45" t="s">
        <v>161</v>
      </c>
      <c r="C85" s="49">
        <v>1</v>
      </c>
      <c r="D85" s="45"/>
    </row>
    <row r="86" spans="1:4" ht="31.2" x14ac:dyDescent="0.3">
      <c r="A86" s="43">
        <v>7</v>
      </c>
      <c r="B86" s="44" t="s">
        <v>110</v>
      </c>
      <c r="C86" s="50">
        <v>1</v>
      </c>
      <c r="D86" s="44"/>
    </row>
    <row r="87" spans="1:4" ht="15.6" x14ac:dyDescent="0.3">
      <c r="A87" s="43">
        <v>8</v>
      </c>
      <c r="B87" s="45" t="s">
        <v>141</v>
      </c>
      <c r="C87" s="49">
        <v>1</v>
      </c>
      <c r="D87" s="45"/>
    </row>
    <row r="88" spans="1:4" ht="15.6" x14ac:dyDescent="0.3">
      <c r="A88" s="43">
        <v>9</v>
      </c>
      <c r="B88" s="44" t="s">
        <v>142</v>
      </c>
      <c r="C88" s="50">
        <v>1</v>
      </c>
      <c r="D88" s="44"/>
    </row>
    <row r="89" spans="1:4" ht="31.2" x14ac:dyDescent="0.3">
      <c r="A89" s="43">
        <v>10</v>
      </c>
      <c r="B89" s="45" t="s">
        <v>143</v>
      </c>
      <c r="C89" s="49">
        <v>1</v>
      </c>
      <c r="D89" s="45"/>
    </row>
    <row r="90" spans="1:4" ht="31.2" x14ac:dyDescent="0.3">
      <c r="A90" s="43">
        <v>11</v>
      </c>
      <c r="B90" s="44" t="s">
        <v>163</v>
      </c>
      <c r="C90" s="50">
        <v>1</v>
      </c>
      <c r="D90" s="44"/>
    </row>
    <row r="97" spans="2:3" ht="46.2" x14ac:dyDescent="0.3">
      <c r="B97" s="53" t="s">
        <v>113</v>
      </c>
      <c r="C97" s="65">
        <f>(SUM(C13:C21)+SUM(C23:C27)+SUM(C29:C35)+SUM(C37:C43)+SUM(C45:C55)+SUM(C57:C67)+SUM(C69:C71)+SUM(C73:C78)+SUM(C80:C90))/67</f>
        <v>1</v>
      </c>
    </row>
  </sheetData>
  <mergeCells count="14">
    <mergeCell ref="A72:D72"/>
    <mergeCell ref="A79:D79"/>
    <mergeCell ref="A1:A5"/>
    <mergeCell ref="B1:D5"/>
    <mergeCell ref="A44:D44"/>
    <mergeCell ref="A56:D56"/>
    <mergeCell ref="A68:D68"/>
    <mergeCell ref="A12:D12"/>
    <mergeCell ref="A22:D22"/>
    <mergeCell ref="A28:D28"/>
    <mergeCell ref="A36:D36"/>
    <mergeCell ref="C6:D6"/>
    <mergeCell ref="C7:D7"/>
    <mergeCell ref="C8:D8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7832EC4-1DCC-43E6-B159-F555337EEFAA}">
          <x14:formula1>
            <xm:f>Hoja1!$A$1:$A$2</xm:f>
          </x14:formula1>
          <xm:sqref>C73:C78 C13:C21 C29:C35 C37:C43 C45:C55 C57:C67 C69:C71 C23:C27 C80:C90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4FA5-8394-49DE-97A1-4061B2A6A025}">
  <dimension ref="A1:F67"/>
  <sheetViews>
    <sheetView showGridLines="0" topLeftCell="A2" zoomScale="80" zoomScaleNormal="80" workbookViewId="0">
      <selection activeCell="I6" sqref="I6"/>
    </sheetView>
  </sheetViews>
  <sheetFormatPr baseColWidth="10" defaultColWidth="9.109375" defaultRowHeight="14.4" x14ac:dyDescent="0.3"/>
  <cols>
    <col min="1" max="1" width="13.109375" style="41" customWidth="1"/>
    <col min="2" max="2" width="105.33203125" bestFit="1" customWidth="1"/>
    <col min="3" max="3" width="21.109375" style="41" customWidth="1"/>
    <col min="4" max="4" width="37.44140625" customWidth="1"/>
    <col min="5" max="6" width="9.109375" customWidth="1"/>
  </cols>
  <sheetData>
    <row r="1" spans="1:6" ht="15" customHeight="1" x14ac:dyDescent="0.3">
      <c r="A1" s="78"/>
      <c r="B1" s="77" t="s">
        <v>114</v>
      </c>
      <c r="C1" s="77"/>
      <c r="D1" s="77"/>
    </row>
    <row r="2" spans="1:6" x14ac:dyDescent="0.3">
      <c r="A2" s="78"/>
      <c r="B2" s="77"/>
      <c r="C2" s="77"/>
      <c r="D2" s="77"/>
    </row>
    <row r="3" spans="1:6" x14ac:dyDescent="0.3">
      <c r="A3" s="78"/>
      <c r="B3" s="77"/>
      <c r="C3" s="77"/>
      <c r="D3" s="77"/>
    </row>
    <row r="4" spans="1:6" x14ac:dyDescent="0.3">
      <c r="A4" s="78"/>
      <c r="B4" s="77"/>
      <c r="C4" s="77"/>
      <c r="D4" s="77"/>
    </row>
    <row r="5" spans="1:6" x14ac:dyDescent="0.3">
      <c r="A5" s="78"/>
      <c r="B5" s="77"/>
      <c r="C5" s="77"/>
      <c r="D5" s="77"/>
    </row>
    <row r="6" spans="1:6" ht="115.2" customHeight="1" x14ac:dyDescent="0.3">
      <c r="B6" s="55" t="s">
        <v>1</v>
      </c>
      <c r="C6" s="82" t="s">
        <v>2</v>
      </c>
      <c r="D6" s="83"/>
    </row>
    <row r="7" spans="1:6" x14ac:dyDescent="0.3">
      <c r="B7" s="55" t="s">
        <v>145</v>
      </c>
      <c r="C7" s="84"/>
      <c r="D7" s="85"/>
    </row>
    <row r="8" spans="1:6" x14ac:dyDescent="0.3">
      <c r="B8" s="55" t="s">
        <v>3</v>
      </c>
      <c r="C8" s="84"/>
      <c r="D8" s="85"/>
    </row>
    <row r="9" spans="1:6" ht="100.8" x14ac:dyDescent="0.3">
      <c r="B9" s="58" t="s">
        <v>4</v>
      </c>
      <c r="C9" s="54"/>
      <c r="D9" s="59" t="s">
        <v>150</v>
      </c>
      <c r="E9" s="72"/>
      <c r="F9" s="72" t="s">
        <v>167</v>
      </c>
    </row>
    <row r="10" spans="1:6" x14ac:dyDescent="0.3">
      <c r="B10" s="21"/>
    </row>
    <row r="11" spans="1:6" ht="15.6" x14ac:dyDescent="0.3">
      <c r="A11" s="43"/>
      <c r="B11" s="42" t="s">
        <v>7</v>
      </c>
      <c r="C11" s="43" t="s">
        <v>113</v>
      </c>
      <c r="D11" s="43" t="s">
        <v>112</v>
      </c>
    </row>
    <row r="12" spans="1:6" ht="15.6" x14ac:dyDescent="0.3">
      <c r="A12" s="79" t="s">
        <v>56</v>
      </c>
      <c r="B12" s="80"/>
      <c r="C12" s="80"/>
      <c r="D12" s="81"/>
    </row>
    <row r="13" spans="1:6" ht="15.6" x14ac:dyDescent="0.3">
      <c r="A13" s="43">
        <v>1</v>
      </c>
      <c r="B13" s="44" t="s">
        <v>58</v>
      </c>
      <c r="C13" s="50"/>
      <c r="D13" s="44"/>
    </row>
    <row r="14" spans="1:6" ht="31.2" x14ac:dyDescent="0.3">
      <c r="A14" s="43">
        <v>2</v>
      </c>
      <c r="B14" s="45" t="s">
        <v>59</v>
      </c>
      <c r="C14" s="49"/>
      <c r="D14" s="45"/>
    </row>
    <row r="15" spans="1:6" ht="31.2" x14ac:dyDescent="0.3">
      <c r="A15" s="43">
        <v>3</v>
      </c>
      <c r="B15" s="44" t="s">
        <v>60</v>
      </c>
      <c r="C15" s="50"/>
      <c r="D15" s="44"/>
    </row>
    <row r="16" spans="1:6" ht="31.2" x14ac:dyDescent="0.3">
      <c r="A16" s="43">
        <v>4</v>
      </c>
      <c r="B16" s="45" t="s">
        <v>61</v>
      </c>
      <c r="C16" s="49"/>
      <c r="D16" s="45"/>
    </row>
    <row r="17" spans="1:4" ht="15.6" x14ac:dyDescent="0.3">
      <c r="A17" s="43">
        <v>5</v>
      </c>
      <c r="B17" s="44" t="s">
        <v>62</v>
      </c>
      <c r="C17" s="50"/>
      <c r="D17" s="44"/>
    </row>
    <row r="18" spans="1:4" ht="15.6" x14ac:dyDescent="0.3">
      <c r="A18" s="43">
        <v>6</v>
      </c>
      <c r="B18" s="45" t="s">
        <v>118</v>
      </c>
      <c r="C18" s="49"/>
      <c r="D18" s="45"/>
    </row>
    <row r="19" spans="1:4" ht="15.6" x14ac:dyDescent="0.3">
      <c r="A19" s="43">
        <v>7</v>
      </c>
      <c r="B19" s="44" t="s">
        <v>119</v>
      </c>
      <c r="C19" s="50"/>
      <c r="D19" s="44"/>
    </row>
    <row r="20" spans="1:4" ht="15.6" x14ac:dyDescent="0.3">
      <c r="A20" s="43">
        <v>8</v>
      </c>
      <c r="B20" s="45" t="s">
        <v>63</v>
      </c>
      <c r="C20" s="49"/>
      <c r="D20" s="45"/>
    </row>
    <row r="21" spans="1:4" ht="15.6" x14ac:dyDescent="0.3">
      <c r="A21" s="43">
        <v>9</v>
      </c>
      <c r="B21" s="44" t="s">
        <v>64</v>
      </c>
      <c r="C21" s="50"/>
      <c r="D21" s="44"/>
    </row>
    <row r="22" spans="1:4" ht="15.6" x14ac:dyDescent="0.3">
      <c r="A22" s="79" t="s">
        <v>10</v>
      </c>
      <c r="B22" s="80"/>
      <c r="C22" s="80"/>
      <c r="D22" s="81"/>
    </row>
    <row r="23" spans="1:4" ht="31.2" x14ac:dyDescent="0.3">
      <c r="A23" s="43">
        <v>1</v>
      </c>
      <c r="B23" s="46" t="s">
        <v>151</v>
      </c>
      <c r="C23" s="50"/>
      <c r="D23" s="46"/>
    </row>
    <row r="24" spans="1:4" ht="31.2" x14ac:dyDescent="0.3">
      <c r="A24" s="43">
        <v>2</v>
      </c>
      <c r="B24" s="45" t="s">
        <v>69</v>
      </c>
      <c r="C24" s="49"/>
      <c r="D24" s="45"/>
    </row>
    <row r="25" spans="1:4" ht="15.6" x14ac:dyDescent="0.3">
      <c r="A25" s="43">
        <v>3</v>
      </c>
      <c r="B25" s="46" t="s">
        <v>152</v>
      </c>
      <c r="C25" s="50"/>
      <c r="D25" s="46"/>
    </row>
    <row r="26" spans="1:4" ht="31.2" x14ac:dyDescent="0.3">
      <c r="A26" s="43">
        <v>4</v>
      </c>
      <c r="B26" s="45" t="s">
        <v>70</v>
      </c>
      <c r="C26" s="49"/>
      <c r="D26" s="45"/>
    </row>
    <row r="27" spans="1:4" ht="31.2" x14ac:dyDescent="0.3">
      <c r="A27" s="43">
        <v>5</v>
      </c>
      <c r="B27" s="46" t="s">
        <v>153</v>
      </c>
      <c r="C27" s="50"/>
      <c r="D27" s="46"/>
    </row>
    <row r="28" spans="1:4" ht="15.6" customHeight="1" x14ac:dyDescent="0.3">
      <c r="A28" s="79" t="s">
        <v>17</v>
      </c>
      <c r="B28" s="80"/>
      <c r="C28" s="80"/>
      <c r="D28" s="81"/>
    </row>
    <row r="29" spans="1:4" ht="31.2" x14ac:dyDescent="0.3">
      <c r="A29" s="43">
        <v>1</v>
      </c>
      <c r="B29" s="46" t="s">
        <v>54</v>
      </c>
      <c r="C29" s="50"/>
      <c r="D29" s="46"/>
    </row>
    <row r="30" spans="1:4" ht="15.6" x14ac:dyDescent="0.3">
      <c r="A30" s="43">
        <v>2</v>
      </c>
      <c r="B30" s="45" t="s">
        <v>67</v>
      </c>
      <c r="C30" s="49"/>
      <c r="D30" s="45"/>
    </row>
    <row r="31" spans="1:4" ht="15.6" x14ac:dyDescent="0.3">
      <c r="A31" s="43">
        <v>3</v>
      </c>
      <c r="B31" s="46" t="s">
        <v>89</v>
      </c>
      <c r="C31" s="50"/>
      <c r="D31" s="46"/>
    </row>
    <row r="32" spans="1:4" ht="15.6" x14ac:dyDescent="0.3">
      <c r="A32" s="43">
        <v>4</v>
      </c>
      <c r="B32" s="45" t="s">
        <v>90</v>
      </c>
      <c r="C32" s="49"/>
      <c r="D32" s="45"/>
    </row>
    <row r="33" spans="1:4" ht="15.6" x14ac:dyDescent="0.3">
      <c r="A33" s="43">
        <v>5</v>
      </c>
      <c r="B33" s="46" t="s">
        <v>91</v>
      </c>
      <c r="C33" s="50"/>
      <c r="D33" s="46"/>
    </row>
    <row r="34" spans="1:4" ht="31.2" x14ac:dyDescent="0.3">
      <c r="A34" s="43">
        <v>6</v>
      </c>
      <c r="B34" s="45" t="s">
        <v>93</v>
      </c>
      <c r="C34" s="49"/>
      <c r="D34" s="45"/>
    </row>
    <row r="35" spans="1:4" ht="31.2" x14ac:dyDescent="0.3">
      <c r="A35" s="43">
        <v>7</v>
      </c>
      <c r="B35" s="46" t="s">
        <v>157</v>
      </c>
      <c r="C35" s="50"/>
      <c r="D35" s="46"/>
    </row>
    <row r="36" spans="1:4" ht="15.6" x14ac:dyDescent="0.3">
      <c r="A36" s="43">
        <v>8</v>
      </c>
      <c r="B36" s="45" t="s">
        <v>132</v>
      </c>
      <c r="C36" s="49"/>
      <c r="D36" s="45"/>
    </row>
    <row r="37" spans="1:4" ht="15.6" x14ac:dyDescent="0.3">
      <c r="A37" s="43">
        <v>9</v>
      </c>
      <c r="B37" s="46" t="s">
        <v>158</v>
      </c>
      <c r="C37" s="50"/>
      <c r="D37" s="46"/>
    </row>
    <row r="38" spans="1:4" ht="15.6" x14ac:dyDescent="0.3">
      <c r="A38" s="43">
        <v>10</v>
      </c>
      <c r="B38" s="45" t="s">
        <v>159</v>
      </c>
      <c r="C38" s="49"/>
      <c r="D38" s="45"/>
    </row>
    <row r="39" spans="1:4" ht="31.2" x14ac:dyDescent="0.3">
      <c r="A39" s="43">
        <v>11</v>
      </c>
      <c r="B39" s="46" t="s">
        <v>98</v>
      </c>
      <c r="C39" s="50"/>
      <c r="D39" s="46"/>
    </row>
    <row r="40" spans="1:4" ht="15.6" customHeight="1" x14ac:dyDescent="0.3">
      <c r="A40" s="79" t="s">
        <v>28</v>
      </c>
      <c r="B40" s="80"/>
      <c r="C40" s="80"/>
      <c r="D40" s="81"/>
    </row>
    <row r="41" spans="1:4" ht="15.6" x14ac:dyDescent="0.3">
      <c r="A41" s="62">
        <v>1</v>
      </c>
      <c r="B41" s="45" t="s">
        <v>133</v>
      </c>
      <c r="C41" s="49"/>
      <c r="D41" s="45"/>
    </row>
    <row r="42" spans="1:4" ht="15.6" x14ac:dyDescent="0.3">
      <c r="A42" s="62">
        <v>2</v>
      </c>
      <c r="B42" s="63" t="s">
        <v>147</v>
      </c>
      <c r="C42" s="50"/>
      <c r="D42" s="64"/>
    </row>
    <row r="43" spans="1:4" ht="31.2" x14ac:dyDescent="0.3">
      <c r="A43" s="62">
        <v>3</v>
      </c>
      <c r="B43" s="45" t="s">
        <v>134</v>
      </c>
      <c r="C43" s="49"/>
      <c r="D43" s="45"/>
    </row>
    <row r="44" spans="1:4" ht="15.6" customHeight="1" x14ac:dyDescent="0.3">
      <c r="A44" s="79" t="s">
        <v>34</v>
      </c>
      <c r="B44" s="80"/>
      <c r="C44" s="80"/>
      <c r="D44" s="81"/>
    </row>
    <row r="45" spans="1:4" ht="31.2" x14ac:dyDescent="0.3">
      <c r="A45" s="43">
        <v>1</v>
      </c>
      <c r="B45" s="44" t="s">
        <v>160</v>
      </c>
      <c r="C45" s="50"/>
      <c r="D45" s="44"/>
    </row>
    <row r="46" spans="1:4" ht="31.2" x14ac:dyDescent="0.3">
      <c r="A46" s="43">
        <v>2</v>
      </c>
      <c r="B46" s="45" t="s">
        <v>99</v>
      </c>
      <c r="C46" s="49"/>
      <c r="D46" s="45"/>
    </row>
    <row r="47" spans="1:4" ht="15.6" x14ac:dyDescent="0.3">
      <c r="A47" s="43">
        <v>3</v>
      </c>
      <c r="B47" s="44" t="s">
        <v>100</v>
      </c>
      <c r="C47" s="50"/>
      <c r="D47" s="44"/>
    </row>
    <row r="48" spans="1:4" ht="31.2" x14ac:dyDescent="0.3">
      <c r="A48" s="43">
        <v>4</v>
      </c>
      <c r="B48" s="45" t="s">
        <v>101</v>
      </c>
      <c r="C48" s="49"/>
      <c r="D48" s="45"/>
    </row>
    <row r="49" spans="1:4" ht="46.8" x14ac:dyDescent="0.3">
      <c r="A49" s="43">
        <v>5</v>
      </c>
      <c r="B49" s="44" t="s">
        <v>102</v>
      </c>
      <c r="C49" s="50"/>
      <c r="D49" s="44"/>
    </row>
    <row r="50" spans="1:4" ht="31.2" x14ac:dyDescent="0.3">
      <c r="A50" s="43">
        <v>6</v>
      </c>
      <c r="B50" s="45" t="s">
        <v>103</v>
      </c>
      <c r="C50" s="49"/>
      <c r="D50" s="45"/>
    </row>
    <row r="51" spans="1:4" ht="15.6" customHeight="1" x14ac:dyDescent="0.3">
      <c r="A51" s="79" t="s">
        <v>40</v>
      </c>
      <c r="B51" s="80"/>
      <c r="C51" s="80"/>
      <c r="D51" s="81"/>
    </row>
    <row r="52" spans="1:4" ht="31.2" x14ac:dyDescent="0.3">
      <c r="A52" s="43">
        <v>1</v>
      </c>
      <c r="B52" s="44" t="s">
        <v>162</v>
      </c>
      <c r="C52" s="50"/>
      <c r="D52" s="44"/>
    </row>
    <row r="53" spans="1:4" ht="15.6" x14ac:dyDescent="0.3">
      <c r="A53" s="43">
        <v>2</v>
      </c>
      <c r="B53" s="45" t="s">
        <v>106</v>
      </c>
      <c r="C53" s="49"/>
      <c r="D53" s="45"/>
    </row>
    <row r="54" spans="1:4" ht="15.6" x14ac:dyDescent="0.3">
      <c r="A54" s="43">
        <v>3</v>
      </c>
      <c r="B54" s="44" t="s">
        <v>138</v>
      </c>
      <c r="C54" s="50"/>
      <c r="D54" s="44"/>
    </row>
    <row r="55" spans="1:4" ht="15.6" x14ac:dyDescent="0.3">
      <c r="A55" s="43">
        <v>4</v>
      </c>
      <c r="B55" s="45" t="s">
        <v>139</v>
      </c>
      <c r="C55" s="49"/>
      <c r="D55" s="45"/>
    </row>
    <row r="56" spans="1:4" ht="15.6" x14ac:dyDescent="0.3">
      <c r="A56" s="43">
        <v>5</v>
      </c>
      <c r="B56" s="44" t="s">
        <v>140</v>
      </c>
      <c r="C56" s="50"/>
      <c r="D56" s="44"/>
    </row>
    <row r="57" spans="1:4" ht="31.2" x14ac:dyDescent="0.3">
      <c r="A57" s="43">
        <v>6</v>
      </c>
      <c r="B57" s="45" t="s">
        <v>161</v>
      </c>
      <c r="C57" s="49"/>
      <c r="D57" s="45"/>
    </row>
    <row r="58" spans="1:4" ht="31.2" x14ac:dyDescent="0.3">
      <c r="A58" s="43">
        <v>7</v>
      </c>
      <c r="B58" s="44" t="s">
        <v>110</v>
      </c>
      <c r="C58" s="50"/>
      <c r="D58" s="44"/>
    </row>
    <row r="59" spans="1:4" ht="15.6" x14ac:dyDescent="0.3">
      <c r="A59" s="43">
        <v>8</v>
      </c>
      <c r="B59" s="45" t="s">
        <v>141</v>
      </c>
      <c r="C59" s="49"/>
      <c r="D59" s="45"/>
    </row>
    <row r="60" spans="1:4" ht="15.6" x14ac:dyDescent="0.3">
      <c r="A60" s="43">
        <v>9</v>
      </c>
      <c r="B60" s="44" t="s">
        <v>142</v>
      </c>
      <c r="C60" s="50"/>
      <c r="D60" s="44"/>
    </row>
    <row r="61" spans="1:4" ht="31.2" x14ac:dyDescent="0.3">
      <c r="A61" s="43">
        <v>10</v>
      </c>
      <c r="B61" s="45" t="s">
        <v>143</v>
      </c>
      <c r="C61" s="49"/>
      <c r="D61" s="45"/>
    </row>
    <row r="62" spans="1:4" ht="31.2" x14ac:dyDescent="0.3">
      <c r="A62" s="43">
        <v>11</v>
      </c>
      <c r="B62" s="44" t="s">
        <v>163</v>
      </c>
      <c r="C62" s="50"/>
      <c r="D62" s="44"/>
    </row>
    <row r="67" spans="2:3" ht="46.2" x14ac:dyDescent="0.3">
      <c r="B67" s="53" t="s">
        <v>113</v>
      </c>
      <c r="C67" s="68">
        <f>(SUM(C13:C21)+SUM(C23:C27)+SUM(C29:C39)+SUM(C41:C43)+SUM(C45:C50)+SUM(C52:C62))/45</f>
        <v>0</v>
      </c>
    </row>
  </sheetData>
  <mergeCells count="11">
    <mergeCell ref="A44:D44"/>
    <mergeCell ref="A51:D51"/>
    <mergeCell ref="A22:D22"/>
    <mergeCell ref="A28:D28"/>
    <mergeCell ref="A40:D40"/>
    <mergeCell ref="A12:D12"/>
    <mergeCell ref="A1:A5"/>
    <mergeCell ref="B1:D5"/>
    <mergeCell ref="C6:D6"/>
    <mergeCell ref="C7:D7"/>
    <mergeCell ref="C8:D8"/>
  </mergeCells>
  <hyperlinks>
    <hyperlink ref="F9" location="MENU!A1" display="Volver al Menu" xr:uid="{75B98114-E586-4DF1-B00E-AD94A3AA8342}"/>
  </hyperlink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4A941D-F822-4E11-ACD7-4F624BED3138}">
          <x14:formula1>
            <xm:f>Hoja1!$A$1:$A$2</xm:f>
          </x14:formula1>
          <xm:sqref>C45:C50 C13:C21 C23:C27 C29:C39 C41:C43 C52:C62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64B7-C030-4958-A418-4BA6CC1FB246}">
  <dimension ref="A1:A2"/>
  <sheetViews>
    <sheetView workbookViewId="0">
      <selection activeCell="A3" sqref="A3"/>
    </sheetView>
  </sheetViews>
  <sheetFormatPr baseColWidth="10" defaultRowHeight="14.4" x14ac:dyDescent="0.3"/>
  <sheetData>
    <row r="1" spans="1:1" x14ac:dyDescent="0.3">
      <c r="A1">
        <v>0</v>
      </c>
    </row>
    <row r="2" spans="1:1" x14ac:dyDescent="0.3">
      <c r="A2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e12d77b-74df-47ef-8ee4-602ccfb1040f">
      <Terms xmlns="http://schemas.microsoft.com/office/infopath/2007/PartnerControls"/>
    </lcf76f155ced4ddcb4097134ff3c332f>
    <TaxCatchAll xmlns="14566a00-7f19-46b9-9e5f-4e54ad7ccb5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ADF4A1490A9714FB9BFD0FF56EEFBB9" ma:contentTypeVersion="16" ma:contentTypeDescription="Crear nuevo documento." ma:contentTypeScope="" ma:versionID="40c8c7a596bd823d01f9c4263aa13e85">
  <xsd:schema xmlns:xsd="http://www.w3.org/2001/XMLSchema" xmlns:xs="http://www.w3.org/2001/XMLSchema" xmlns:p="http://schemas.microsoft.com/office/2006/metadata/properties" xmlns:ns2="ce12d77b-74df-47ef-8ee4-602ccfb1040f" xmlns:ns3="14566a00-7f19-46b9-9e5f-4e54ad7ccb59" targetNamespace="http://schemas.microsoft.com/office/2006/metadata/properties" ma:root="true" ma:fieldsID="f4c53973b903fb17cee784b0587a3396" ns2:_="" ns3:_="">
    <xsd:import namespace="ce12d77b-74df-47ef-8ee4-602ccfb1040f"/>
    <xsd:import namespace="14566a00-7f19-46b9-9e5f-4e54ad7ccb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2d77b-74df-47ef-8ee4-602ccfb104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22ca080-b406-4681-9766-f1881d6987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66a00-7f19-46b9-9e5f-4e54ad7ccb5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ce05db6e-d6c9-4d5b-9fe3-a2707a89e23c}" ma:internalName="TaxCatchAll" ma:showField="CatchAllData" ma:web="14566a00-7f19-46b9-9e5f-4e54ad7ccb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060A12-CA9F-4AFC-A125-526DADE3563D}">
  <ds:schemaRefs>
    <ds:schemaRef ds:uri="http://schemas.microsoft.com/office/2006/metadata/properties"/>
    <ds:schemaRef ds:uri="http://schemas.microsoft.com/office/infopath/2007/PartnerControls"/>
    <ds:schemaRef ds:uri="ce12d77b-74df-47ef-8ee4-602ccfb1040f"/>
    <ds:schemaRef ds:uri="14566a00-7f19-46b9-9e5f-4e54ad7ccb59"/>
  </ds:schemaRefs>
</ds:datastoreItem>
</file>

<file path=customXml/itemProps2.xml><?xml version="1.0" encoding="utf-8"?>
<ds:datastoreItem xmlns:ds="http://schemas.openxmlformats.org/officeDocument/2006/customXml" ds:itemID="{284FB6C6-47FC-4A3B-9E25-E1A6E98754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12d77b-74df-47ef-8ee4-602ccfb1040f"/>
    <ds:schemaRef ds:uri="14566a00-7f19-46b9-9e5f-4e54ad7ccb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8F5001-6CCE-4EC4-B167-E3231A7159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Lineamientos SI</vt:lpstr>
      <vt:lpstr>Lineamientos SI (2)</vt:lpstr>
      <vt:lpstr>Lineamientos SI(3)</vt:lpstr>
      <vt:lpstr>MENU</vt:lpstr>
      <vt:lpstr>SW como Servicio</vt:lpstr>
      <vt:lpstr>SW como Servicio_base</vt:lpstr>
      <vt:lpstr>Desarrollo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Martins</dc:creator>
  <cp:keywords/>
  <dc:description/>
  <cp:lastModifiedBy>Carla Andrea Leiva</cp:lastModifiedBy>
  <cp:revision/>
  <dcterms:created xsi:type="dcterms:W3CDTF">2022-06-01T16:27:06Z</dcterms:created>
  <dcterms:modified xsi:type="dcterms:W3CDTF">2026-04-10T17:46:48Z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0x010100DADF4A1490A9714FB9BFD0FF56EEFBB9</vt:lpwstr>
  </property>
  <property fmtid="{D5CDD505-2E9C-101B-9397-08002B2CF9AE}" pid="3" name="WorkbookGuid">
    <vt:lpwstr>06c1078b-4142-4ab1-ba9e-70d9ce6d1c4e</vt:lpwstr>
  </property>
  <property fmtid="{D5CDD505-2E9C-101B-9397-08002B2CF9AE}" pid="4" name="MediaServiceImageTags">
    <vt:lpwstr/>
  </property>
</Properties>
</file>